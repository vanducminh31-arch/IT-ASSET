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andu\Downloads\"/>
    </mc:Choice>
  </mc:AlternateContent>
  <xr:revisionPtr revIDLastSave="0" documentId="13_ncr:1_{5549C578-D2FF-4CA8-9A90-76F3CDE7978B}" xr6:coauthVersionLast="47" xr6:coauthVersionMax="47" xr10:uidLastSave="{00000000-0000-0000-0000-000000000000}"/>
  <bookViews>
    <workbookView xWindow="-108" yWindow="-108" windowWidth="23256" windowHeight="12456" firstSheet="1" activeTab="1" xr2:uid="{AF02F0BB-D8FF-404C-8E27-2304E0F56FB9}"/>
  </bookViews>
  <sheets>
    <sheet name="Summary_Store" sheetId="19" r:id="rId1"/>
    <sheet name="Asset_Office" sheetId="7" r:id="rId2"/>
    <sheet name="Warehosue mail" sheetId="26" r:id="rId3"/>
    <sheet name="VN_Emails" sheetId="8" r:id="rId4"/>
    <sheet name="Office_Resigned" sheetId="9" r:id="rId5"/>
  </sheets>
  <definedNames>
    <definedName name="_xlnm._FilterDatabase" localSheetId="1" hidden="1">Asset_Office!$A$1:$AC$104</definedName>
    <definedName name="_xlnm._FilterDatabase" localSheetId="4" hidden="1">Office_Resigned!$A$1:$T$62</definedName>
    <definedName name="_xlnm._FilterDatabase" localSheetId="3" hidden="1">VN_Emails!$A$1:$S$7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7" l="1"/>
  <c r="E48" i="7"/>
  <c r="D6" i="7"/>
  <c r="D98" i="7"/>
  <c r="D97" i="7"/>
  <c r="D8" i="7"/>
  <c r="G8" i="7"/>
  <c r="D74" i="7"/>
  <c r="G74" i="7"/>
  <c r="I32" i="7"/>
  <c r="D100" i="7"/>
  <c r="E99" i="7"/>
  <c r="E103" i="7"/>
  <c r="D103" i="7"/>
  <c r="D99" i="7"/>
  <c r="E2" i="7"/>
  <c r="D2" i="7"/>
  <c r="E9" i="7"/>
  <c r="D7" i="7"/>
  <c r="D91" i="7"/>
  <c r="D23" i="7"/>
  <c r="D58" i="7"/>
  <c r="D38" i="7"/>
  <c r="D37" i="7"/>
  <c r="D27" i="7"/>
  <c r="D16" i="7"/>
  <c r="D56" i="7"/>
  <c r="D71" i="7"/>
  <c r="I103" i="7"/>
  <c r="A69" i="9"/>
  <c r="A64" i="9"/>
  <c r="I2" i="7"/>
  <c r="E3" i="7"/>
  <c r="D3" i="7"/>
  <c r="B42" i="9"/>
  <c r="E101" i="7"/>
  <c r="D101" i="7"/>
  <c r="A60" i="9"/>
  <c r="D39" i="7"/>
  <c r="E39" i="7"/>
  <c r="G39" i="7"/>
  <c r="I39" i="7"/>
  <c r="E100" i="7"/>
  <c r="A56" i="9"/>
  <c r="A55" i="9"/>
  <c r="D65" i="7"/>
  <c r="E65" i="7"/>
  <c r="G65" i="7"/>
  <c r="I65" i="7"/>
  <c r="A53" i="9"/>
  <c r="I67" i="7"/>
  <c r="G29" i="7"/>
  <c r="G38" i="7"/>
  <c r="G41" i="7"/>
  <c r="D40" i="7"/>
  <c r="E4" i="7"/>
  <c r="D4" i="7"/>
  <c r="E83" i="7"/>
  <c r="E82" i="7"/>
  <c r="D22" i="7"/>
  <c r="D62" i="7"/>
  <c r="G48" i="7"/>
  <c r="G49" i="7"/>
  <c r="D48" i="7"/>
  <c r="D49" i="7"/>
  <c r="D45" i="7"/>
  <c r="D11" i="7"/>
  <c r="D83" i="7"/>
  <c r="D82" i="7"/>
  <c r="E75" i="7"/>
  <c r="I102" i="7"/>
  <c r="B39" i="9"/>
  <c r="G91" i="7"/>
  <c r="I91" i="7"/>
  <c r="E22" i="7"/>
  <c r="I3" i="7"/>
  <c r="D29" i="7"/>
  <c r="I104" i="7"/>
  <c r="E95" i="7"/>
  <c r="I93" i="7"/>
  <c r="I94" i="7"/>
  <c r="I95" i="7"/>
  <c r="I96" i="7"/>
  <c r="I97" i="7"/>
  <c r="I98" i="7"/>
  <c r="I99" i="7"/>
  <c r="I100" i="7"/>
  <c r="I101" i="7"/>
  <c r="G72" i="7"/>
  <c r="E50" i="7"/>
  <c r="D50" i="7"/>
  <c r="D46" i="7"/>
  <c r="E98" i="7"/>
  <c r="D96" i="7"/>
  <c r="D94" i="7"/>
  <c r="C10" i="19"/>
  <c r="A10" i="19"/>
  <c r="G30" i="7"/>
  <c r="C9" i="19"/>
  <c r="C8" i="19"/>
  <c r="C7" i="19"/>
  <c r="C6" i="19"/>
  <c r="C4" i="19" a="1"/>
  <c r="C4" i="19" s="1"/>
  <c r="C3" i="19"/>
  <c r="G2" i="19"/>
  <c r="H2" i="19" s="1"/>
  <c r="E2" i="19"/>
  <c r="F2" i="19" s="1"/>
  <c r="C2" i="19"/>
  <c r="C5" i="19" s="1"/>
  <c r="A3" i="19"/>
  <c r="A4" i="19"/>
  <c r="A5" i="19"/>
  <c r="A6" i="19"/>
  <c r="A7" i="19"/>
  <c r="A8" i="19"/>
  <c r="A9" i="19"/>
  <c r="G89" i="7"/>
  <c r="E89" i="7"/>
  <c r="D89" i="7"/>
  <c r="G86" i="7"/>
  <c r="E86" i="7"/>
  <c r="G85" i="7"/>
  <c r="E85" i="7"/>
  <c r="D85" i="7"/>
  <c r="G83" i="7"/>
  <c r="G82" i="7"/>
  <c r="G80" i="7"/>
  <c r="E80" i="7"/>
  <c r="G79" i="7"/>
  <c r="E79" i="7"/>
  <c r="D79" i="7"/>
  <c r="G78" i="7"/>
  <c r="E78" i="7"/>
  <c r="D78" i="7"/>
  <c r="G77" i="7"/>
  <c r="E77" i="7"/>
  <c r="D77" i="7"/>
  <c r="G76" i="7"/>
  <c r="E76" i="7"/>
  <c r="D76" i="7"/>
  <c r="E74" i="7"/>
  <c r="G73" i="7"/>
  <c r="D73" i="7"/>
  <c r="E72" i="7"/>
  <c r="D72" i="7"/>
  <c r="G71" i="7"/>
  <c r="E71" i="7"/>
  <c r="G70" i="7"/>
  <c r="E70" i="7"/>
  <c r="D70" i="7"/>
  <c r="G69" i="7"/>
  <c r="E69" i="7"/>
  <c r="D69" i="7"/>
  <c r="G68" i="7"/>
  <c r="E68" i="7"/>
  <c r="D68" i="7"/>
  <c r="G67" i="7"/>
  <c r="E67" i="7"/>
  <c r="D67" i="7"/>
  <c r="G81" i="7"/>
  <c r="E81" i="7"/>
  <c r="D81" i="7"/>
  <c r="G66" i="7"/>
  <c r="E66" i="7"/>
  <c r="D66" i="7"/>
  <c r="G64" i="7"/>
  <c r="E64" i="7"/>
  <c r="D64" i="7"/>
  <c r="G63" i="7"/>
  <c r="E63" i="7"/>
  <c r="D63" i="7"/>
  <c r="G62" i="7"/>
  <c r="E62" i="7"/>
  <c r="G61" i="7"/>
  <c r="E61" i="7"/>
  <c r="D61" i="7"/>
  <c r="G60" i="7"/>
  <c r="E60" i="7"/>
  <c r="D60" i="7"/>
  <c r="G57" i="7"/>
  <c r="G56" i="7"/>
  <c r="E56" i="7"/>
  <c r="G55" i="7"/>
  <c r="E55" i="7"/>
  <c r="D55" i="7"/>
  <c r="G54" i="7"/>
  <c r="E54" i="7"/>
  <c r="D54" i="7"/>
  <c r="G53" i="7"/>
  <c r="E53" i="7"/>
  <c r="D53" i="7"/>
  <c r="G52" i="7"/>
  <c r="E52" i="7"/>
  <c r="D52" i="7"/>
  <c r="G51" i="7"/>
  <c r="E51" i="7"/>
  <c r="D51" i="7"/>
  <c r="G46" i="7"/>
  <c r="E46" i="7"/>
  <c r="G45" i="7"/>
  <c r="E45" i="7"/>
  <c r="G44" i="7"/>
  <c r="E44" i="7"/>
  <c r="D44" i="7"/>
  <c r="G43" i="7"/>
  <c r="E43" i="7"/>
  <c r="D43" i="7"/>
  <c r="E41" i="7"/>
  <c r="D41" i="7"/>
  <c r="G37" i="7"/>
  <c r="E37" i="7"/>
  <c r="G35" i="7"/>
  <c r="E35" i="7"/>
  <c r="D35" i="7"/>
  <c r="G34" i="7"/>
  <c r="E34" i="7"/>
  <c r="D34" i="7"/>
  <c r="G33" i="7"/>
  <c r="E33" i="7"/>
  <c r="D33" i="7"/>
  <c r="G32" i="7"/>
  <c r="E32" i="7"/>
  <c r="D32" i="7"/>
  <c r="G31" i="7"/>
  <c r="E31" i="7"/>
  <c r="D31" i="7"/>
  <c r="E29" i="7"/>
  <c r="G28" i="7"/>
  <c r="E28" i="7"/>
  <c r="D28" i="7"/>
  <c r="G27" i="7"/>
  <c r="E27" i="7"/>
  <c r="G25" i="7"/>
  <c r="E25" i="7"/>
  <c r="D25" i="7"/>
  <c r="G24" i="7"/>
  <c r="E24" i="7"/>
  <c r="D24" i="7"/>
  <c r="G21" i="7"/>
  <c r="E21" i="7"/>
  <c r="D21" i="7"/>
  <c r="G20" i="7"/>
  <c r="E20" i="7"/>
  <c r="G19" i="7"/>
  <c r="E19" i="7"/>
  <c r="G18" i="7"/>
  <c r="E18" i="7"/>
  <c r="D18" i="7"/>
  <c r="G17" i="7"/>
  <c r="E17" i="7"/>
  <c r="D17" i="7"/>
  <c r="G16" i="7"/>
  <c r="E16" i="7"/>
  <c r="G15" i="7"/>
  <c r="E15" i="7"/>
  <c r="D15" i="7"/>
  <c r="G14" i="7"/>
  <c r="E14" i="7"/>
  <c r="D14" i="7"/>
  <c r="G13" i="7"/>
  <c r="E13" i="7"/>
  <c r="D13" i="7"/>
  <c r="G12" i="7"/>
  <c r="E12" i="7"/>
  <c r="D12" i="7"/>
  <c r="G11" i="7"/>
  <c r="E11" i="7"/>
  <c r="G10" i="7"/>
  <c r="E10" i="7"/>
  <c r="D10" i="7"/>
  <c r="G3" i="7"/>
  <c r="G4" i="7"/>
  <c r="G5" i="7"/>
  <c r="G7" i="7"/>
  <c r="G9" i="7"/>
  <c r="G2" i="7"/>
  <c r="D5" i="7"/>
  <c r="E5" i="7"/>
  <c r="E7" i="7"/>
  <c r="E8" i="7"/>
  <c r="D9" i="7"/>
  <c r="I92" i="7"/>
  <c r="B4" i="9"/>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3" i="7"/>
  <c r="I34" i="7"/>
  <c r="I35" i="7"/>
  <c r="I36" i="7"/>
  <c r="I37" i="7"/>
  <c r="I38" i="7"/>
  <c r="I40" i="7"/>
  <c r="I41" i="7"/>
  <c r="I42" i="7"/>
  <c r="I43" i="7"/>
  <c r="I44" i="7"/>
  <c r="I45" i="7"/>
  <c r="I46" i="7"/>
  <c r="I47" i="7"/>
  <c r="I48" i="7"/>
  <c r="I49" i="7"/>
  <c r="I50" i="7"/>
  <c r="I51" i="7"/>
  <c r="I52" i="7"/>
  <c r="I53" i="7"/>
  <c r="I54" i="7"/>
  <c r="I55" i="7"/>
  <c r="I56" i="7"/>
  <c r="I57" i="7"/>
  <c r="I58" i="7"/>
  <c r="I59" i="7"/>
  <c r="I60" i="7"/>
  <c r="I61" i="7"/>
  <c r="I62" i="7"/>
  <c r="I63" i="7"/>
  <c r="I64" i="7"/>
  <c r="I66" i="7"/>
  <c r="I81" i="7"/>
  <c r="I68" i="7"/>
  <c r="I69" i="7"/>
  <c r="I70" i="7"/>
  <c r="I71" i="7"/>
  <c r="I72" i="7"/>
  <c r="I73" i="7"/>
  <c r="I74" i="7"/>
  <c r="I75" i="7"/>
  <c r="I76" i="7"/>
  <c r="I77" i="7"/>
  <c r="I78" i="7"/>
  <c r="I79" i="7"/>
  <c r="I80" i="7"/>
  <c r="I82" i="7"/>
  <c r="I83" i="7"/>
  <c r="I84" i="7"/>
  <c r="I85" i="7"/>
  <c r="I86" i="7"/>
  <c r="I87" i="7"/>
  <c r="I88" i="7"/>
  <c r="I89" i="7"/>
  <c r="I90" i="7"/>
  <c r="B5" i="9"/>
  <c r="B6" i="9"/>
  <c r="B7" i="9"/>
  <c r="B8" i="9"/>
  <c r="B9" i="9"/>
  <c r="B10" i="9"/>
  <c r="B11" i="9"/>
  <c r="B12" i="9"/>
  <c r="B13" i="9"/>
  <c r="B14" i="9"/>
  <c r="B15" i="9"/>
  <c r="B16" i="9"/>
  <c r="B17" i="9"/>
  <c r="B18" i="9"/>
  <c r="B19" i="9"/>
  <c r="B20" i="9"/>
  <c r="B21" i="9"/>
  <c r="B22" i="9"/>
  <c r="B23" i="9"/>
  <c r="B24" i="9"/>
  <c r="A49" i="9"/>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51" i="9"/>
  <c r="A50" i="9"/>
  <c r="A48" i="9"/>
  <c r="A52" i="9"/>
  <c r="A47" i="9"/>
  <c r="B40" i="9"/>
  <c r="A46" i="9"/>
  <c r="B36" i="9"/>
  <c r="B38" i="9"/>
  <c r="B41" i="9"/>
  <c r="A84" i="7"/>
  <c r="A85" i="7"/>
  <c r="A86" i="7"/>
  <c r="A87" i="7"/>
  <c r="A88" i="7"/>
  <c r="A89" i="7" s="1"/>
  <c r="A90" i="7" s="1"/>
  <c r="A91" i="7" s="1"/>
  <c r="A92" i="7" s="1"/>
  <c r="A93" i="7" s="1"/>
  <c r="A94" i="7" s="1"/>
  <c r="A95" i="7" s="1"/>
  <c r="A96" i="7" s="1"/>
  <c r="A97" i="7" s="1"/>
  <c r="A98" i="7" s="1"/>
  <c r="A99" i="7" s="1"/>
  <c r="A100" i="7" s="1"/>
  <c r="A101" i="7" s="1"/>
  <c r="A102" i="7" s="1"/>
  <c r="A103" i="7" s="1"/>
  <c r="A104" i="7" s="1"/>
  <c r="A40" i="7"/>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81" i="7" s="1"/>
  <c r="A67" i="7" s="1"/>
  <c r="A68" i="7" s="1"/>
  <c r="A69" i="7" s="1"/>
  <c r="A70" i="7" s="1"/>
  <c r="A71" i="7" s="1"/>
  <c r="A72" i="7" s="1"/>
  <c r="A73" i="7" s="1"/>
  <c r="A74" i="7" s="1"/>
  <c r="A75" i="7" s="1"/>
  <c r="A76" i="7" s="1"/>
  <c r="A77" i="7" s="1"/>
  <c r="A78" i="7" s="1"/>
  <c r="A79" i="7" s="1"/>
  <c r="A80" i="7" s="1"/>
  <c r="A82" i="7" s="1"/>
  <c r="A83"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<sst xmlns="http://schemas.openxmlformats.org/spreadsheetml/2006/main" count="3281" uniqueCount="1293">
  <si>
    <t>No.</t>
  </si>
  <si>
    <t>Category</t>
  </si>
  <si>
    <t>Qty</t>
  </si>
  <si>
    <t>Notes</t>
  </si>
  <si>
    <t>HCM</t>
  </si>
  <si>
    <t>South stores (other than HCM)</t>
  </si>
  <si>
    <t>HN</t>
  </si>
  <si>
    <t>North stores (other than HN)</t>
  </si>
  <si>
    <t>Number of active stores</t>
  </si>
  <si>
    <t>Number of active bazaar</t>
  </si>
  <si>
    <t>Number of active events, private sales</t>
  </si>
  <si>
    <t>Total (active)</t>
  </si>
  <si>
    <t>Existing stores that need to deploy FG-40F</t>
  </si>
  <si>
    <t>Existing stores that need to deploy FG-60F</t>
  </si>
  <si>
    <t>Extra Details - Number of active Mono stores</t>
  </si>
  <si>
    <t>Extra Details - Number of active SIS stores</t>
  </si>
  <si>
    <t>Stores enabled O2O</t>
  </si>
  <si>
    <t>Asset ID</t>
  </si>
  <si>
    <t>Status
(formula)</t>
  </si>
  <si>
    <t>Assigned To
(formula)</t>
  </si>
  <si>
    <t>Description
(formula)</t>
  </si>
  <si>
    <t>Location</t>
  </si>
  <si>
    <t>Asset Type (formula)</t>
  </si>
  <si>
    <t>Brand</t>
  </si>
  <si>
    <t>Model</t>
  </si>
  <si>
    <t>S/N</t>
  </si>
  <si>
    <t>RAM (GB)</t>
  </si>
  <si>
    <t>Hard Disk (GB)</t>
  </si>
  <si>
    <t>Hard Disk Type</t>
  </si>
  <si>
    <t>CPU</t>
  </si>
  <si>
    <t>Purchase Date</t>
  </si>
  <si>
    <t>Vendor/Supplier</t>
  </si>
  <si>
    <t>Note</t>
  </si>
  <si>
    <t>Assignment History</t>
  </si>
  <si>
    <t>Old Hostname</t>
  </si>
  <si>
    <t>Hostname</t>
  </si>
  <si>
    <t>AD unjoin, change hostname</t>
  </si>
  <si>
    <t>Status BIGFIX</t>
  </si>
  <si>
    <t>STATUS Crowdstrike</t>
  </si>
  <si>
    <t>Available</t>
  </si>
  <si>
    <t>Desktop</t>
  </si>
  <si>
    <t>HP</t>
  </si>
  <si>
    <t>HDD</t>
  </si>
  <si>
    <t>DONE</t>
  </si>
  <si>
    <t>In Use</t>
  </si>
  <si>
    <t>22VN00110003</t>
  </si>
  <si>
    <t>8CG8105MSL</t>
  </si>
  <si>
    <t>SSD</t>
  </si>
  <si>
    <t>Laptop</t>
  </si>
  <si>
    <t>2500 MHz 12th Gen Intel Core i5-1235U</t>
  </si>
  <si>
    <t>Latitude 3520</t>
  </si>
  <si>
    <t>Dell</t>
  </si>
  <si>
    <t>2200 MHz 11th Gen Intel Core i3-1115G4 @ 3.00GHz</t>
  </si>
  <si>
    <t>IT BACKUP</t>
  </si>
  <si>
    <t>IT</t>
  </si>
  <si>
    <t>ProBook 440 G9</t>
  </si>
  <si>
    <t>Operations</t>
  </si>
  <si>
    <t>Lenovo</t>
  </si>
  <si>
    <t>1800 MHz Core i5-8250U</t>
  </si>
  <si>
    <t>1800 MHz Core i5-8265U</t>
  </si>
  <si>
    <t>22VN00000085</t>
  </si>
  <si>
    <t>3000 MHz 11th Gen Intel Core i3-1115G4 @ 3.00GHz</t>
  </si>
  <si>
    <t>22VN00000040</t>
  </si>
  <si>
    <t>1400 MHz 11th Gen Intel Core i5-1135G7 @ 2.40GHz</t>
  </si>
  <si>
    <t xml:space="preserve"> </t>
  </si>
  <si>
    <t>22VN00000090</t>
  </si>
  <si>
    <t>AD User
(formula)</t>
  </si>
  <si>
    <t>Asset Name
(formula)</t>
  </si>
  <si>
    <t>USB TOKEN</t>
  </si>
  <si>
    <t>PASTE ASSET ID</t>
  </si>
  <si>
    <t xml:space="preserve">STATUS JOIN DOMAIN </t>
  </si>
  <si>
    <t>22VN00000001</t>
  </si>
  <si>
    <t>AMMAVNAMC000001</t>
  </si>
  <si>
    <t>Office</t>
  </si>
  <si>
    <t>Latitude 7420</t>
  </si>
  <si>
    <t>DVV62J3</t>
  </si>
  <si>
    <t>1700 MHz 11th Gen Intel Core i7-1165G7 @ 2.80GHz</t>
  </si>
  <si>
    <t>MMA-LAP-0001</t>
  </si>
  <si>
    <t>Created it.active local account</t>
  </si>
  <si>
    <t>22VN00000002</t>
  </si>
  <si>
    <t>AMMAVNACC000002</t>
  </si>
  <si>
    <t>124N1J3</t>
  </si>
  <si>
    <t>DANG BH LAPTOP KO LÊN NGUỒN</t>
  </si>
  <si>
    <t>MMA-LAP-0002</t>
  </si>
  <si>
    <t>Need to do both</t>
  </si>
  <si>
    <t>22VN00000003</t>
  </si>
  <si>
    <t>AMMAVNACC000003</t>
  </si>
  <si>
    <t>Latitude 5420</t>
  </si>
  <si>
    <t>1Z8DZH3</t>
  </si>
  <si>
    <t xml:space="preserve">UPDATE NEW SSD 500GB SAMSUNG </t>
  </si>
  <si>
    <t>đã  bh ssd vs CMCSG samsung 500GB lưu kho IT
Lấy ổ cứng SSD đã bảo hành của chị Mai (M.2 SSD - Model A60 - 512GB - S/N: 23027592-050170B) để thay vào laptop Dell Latitude 7420 của chị Uyên
Máy cũ chị Maya  đã thu hồi 22/01/2024 , Hiếu IT đang giữ</t>
  </si>
  <si>
    <t>use USB token</t>
  </si>
  <si>
    <t>MMA-LAP-0003</t>
  </si>
  <si>
    <t>22VN00000004</t>
  </si>
  <si>
    <t>AMMAVNACC000004</t>
  </si>
  <si>
    <t>Latitude 5430</t>
  </si>
  <si>
    <t>42X2SQ3</t>
  </si>
  <si>
    <t>Máy của Danh thỉnh thoảng không lên màn hình</t>
  </si>
  <si>
    <t>MMA-LAP-0004</t>
  </si>
  <si>
    <t>22VN00000006</t>
  </si>
  <si>
    <t>old laptop Nguyen Hoang Anh Thy Accounting</t>
  </si>
  <si>
    <t>AMMAVNACC000006</t>
  </si>
  <si>
    <t>5R4JGL3</t>
  </si>
  <si>
    <t>old laptop Nguyen Hoang Anh Thy Accounting, IT thu hồi 21-02-2024</t>
  </si>
  <si>
    <t>22VN00000007</t>
  </si>
  <si>
    <t>AMMAVNACCC000007</t>
  </si>
  <si>
    <t>Latitude 3420</t>
  </si>
  <si>
    <t>65G48S3</t>
  </si>
  <si>
    <t>MMA-LAP-0007</t>
  </si>
  <si>
    <t>22VN00000008</t>
  </si>
  <si>
    <t>AMMAVNACC000008</t>
  </si>
  <si>
    <t>2P8VKG3</t>
  </si>
  <si>
    <t>1400 MHz 11th Gen Intel Core i3-1135G7 @ 2.40GHz</t>
  </si>
  <si>
    <t>MMA-LAP-0008</t>
  </si>
  <si>
    <t>22VN00000009</t>
  </si>
  <si>
    <t>AMMAVNLOC000009</t>
  </si>
  <si>
    <t>1583SQ3</t>
  </si>
  <si>
    <t>MMA-LAP-0009</t>
  </si>
  <si>
    <t>22VN00000010</t>
  </si>
  <si>
    <t>AMMAVNROC000010</t>
  </si>
  <si>
    <t>4Q9VKG3</t>
  </si>
  <si>
    <t>Máy Mỹ TRang cũ</t>
  </si>
  <si>
    <t>MMA-LAP-0010</t>
  </si>
  <si>
    <t>22VN00000011</t>
  </si>
  <si>
    <t>AMMAVNMDC000011</t>
  </si>
  <si>
    <t>F083SQ3</t>
  </si>
  <si>
    <t>SỬ DỤNG MÁY 5430 CỦA LƯU GIANG CẨM VÂN(VICKY) ĐÃ THAY SSD BỊ HƯ TỪ CMC (LẦN 1)
CHỜ CỨU DATA TỪ SÓNG NAM SAU ĐÓ BH SSD VS CMC(SAU TẾT)
CMC ĐÃ GỬI LẠI SSD MỚI NGÀY 08/03/2024</t>
  </si>
  <si>
    <t>MMA-LAP-0011</t>
  </si>
  <si>
    <t>22VN00000012</t>
  </si>
  <si>
    <t>AMMAVNHRC000012</t>
  </si>
  <si>
    <t>BR9VKG3</t>
  </si>
  <si>
    <t>Máy lỗi loa user binh.ngotieu 16/05/24, Cấp tạm cho Lan Vy
Cấp ZV16 26/08/2024</t>
  </si>
  <si>
    <t>MMA-LAP-0012</t>
  </si>
  <si>
    <t>22VN00000013</t>
  </si>
  <si>
    <t>AMMAVNHRC000013</t>
  </si>
  <si>
    <t>Pavilion 15-eg0xxx</t>
  </si>
  <si>
    <t>5CD1294NHX</t>
  </si>
  <si>
    <t>2400 MHz 11th Gen Intel Core i5-1135G7 @ 2.40GHz</t>
  </si>
  <si>
    <t>MMA-LAP-0013</t>
  </si>
  <si>
    <t>22VN00000014</t>
  </si>
  <si>
    <t>AMMAVNPUC000014</t>
  </si>
  <si>
    <t>BKY5FX3</t>
  </si>
  <si>
    <r>
      <t>11</t>
    </r>
    <r>
      <rPr>
        <vertAlign val="superscript"/>
        <sz val="11"/>
        <color theme="1"/>
        <rFont val="Times New Roman"/>
      </rPr>
      <t>TH</t>
    </r>
    <r>
      <rPr>
        <sz val="11"/>
        <color theme="1"/>
        <rFont val="Times New Roman"/>
      </rPr>
      <t xml:space="preserve"> Gen Intel ® Core™ i5-1135G7 @2.40Ghz</t>
    </r>
  </si>
  <si>
    <t>MMA-LAP-0014</t>
  </si>
  <si>
    <t>22VN00000015</t>
  </si>
  <si>
    <t>AMMAVNLOC000015</t>
  </si>
  <si>
    <t>13D4SQ3</t>
  </si>
  <si>
    <t>MMA-LAP-0015</t>
  </si>
  <si>
    <t>22VN00000016</t>
  </si>
  <si>
    <t>AMMAVNLOC000016</t>
  </si>
  <si>
    <t>99C2LG3</t>
  </si>
  <si>
    <t>Nâng 4gb Ram và 256GB SSD</t>
  </si>
  <si>
    <t>MMA-LAP-0016</t>
  </si>
  <si>
    <t>22VN00000017</t>
  </si>
  <si>
    <t>AMMAVNWHC000017</t>
  </si>
  <si>
    <t>JP8VKG3</t>
  </si>
  <si>
    <t>MMA-LAP-0017</t>
  </si>
  <si>
    <t>22VN00000018</t>
  </si>
  <si>
    <t>AMMAVNWHC000018</t>
  </si>
  <si>
    <t>JR9VKG3</t>
  </si>
  <si>
    <t>MMA-LAP-0018</t>
  </si>
  <si>
    <t>22VN00000019</t>
  </si>
  <si>
    <t>AMMAVNLOC000019</t>
  </si>
  <si>
    <t>FQ8VKG3</t>
  </si>
  <si>
    <t>MMA-LAP-0019</t>
  </si>
  <si>
    <t>22VN00000020</t>
  </si>
  <si>
    <t>Quan Thanh Them</t>
  </si>
  <si>
    <t>AMMAVNCEC000020</t>
  </si>
  <si>
    <t>5BD4SQ3</t>
  </si>
  <si>
    <t>MMA-LAP-0020</t>
  </si>
  <si>
    <t>22VN00000021</t>
  </si>
  <si>
    <t>AMMAVNCEC000021</t>
  </si>
  <si>
    <t>BTN0BG3</t>
  </si>
  <si>
    <t>MMA-LAP-0021</t>
  </si>
  <si>
    <t>22VN00000022</t>
  </si>
  <si>
    <t>AMMAVNCEC000022</t>
  </si>
  <si>
    <t>thang.nguyenquyet</t>
  </si>
  <si>
    <t>DP8VKG3</t>
  </si>
  <si>
    <t>LE MINH KHANG OLD LAPTOP (COE Officer) resigned 29-01-2024 
- 25/03/2024 handover for Tạ Quỳnh Trang
-16/07/2024 handover for Trần Hồ Duy Tân</t>
  </si>
  <si>
    <t>MMA-LAP-0022</t>
  </si>
  <si>
    <t>22VN00000023</t>
  </si>
  <si>
    <t>AMMAVNCEC000023</t>
  </si>
  <si>
    <t>6S4JGL3</t>
  </si>
  <si>
    <t xml:space="preserve">
</t>
  </si>
  <si>
    <t>- Tran Dang Anh Khoa (COE Officer) resigned
- Cấp tạm cho DƯƠNG QUANG MINH TUẤN THAY cho HỒ HẢI ĐĂNG AM
IT ĐÃ THU HỒI 30-01-24</t>
  </si>
  <si>
    <t>DISABLE</t>
  </si>
  <si>
    <t>MMA-LAP-0023</t>
  </si>
  <si>
    <t>22VN00000024</t>
  </si>
  <si>
    <t>AMMAVNICC000024</t>
  </si>
  <si>
    <t>4R9VKG3</t>
  </si>
  <si>
    <t>MMA-LAP-0024</t>
  </si>
  <si>
    <t>22VN00000025</t>
  </si>
  <si>
    <t>AMMAVNITC000025</t>
  </si>
  <si>
    <t>FGF3SQ3</t>
  </si>
  <si>
    <t>MMA-LAP-0025</t>
  </si>
  <si>
    <t>22VN00000026</t>
  </si>
  <si>
    <t>AMMAVNITC000026</t>
  </si>
  <si>
    <t>ProBook 440 G4</t>
  </si>
  <si>
    <t>5CD73626Y5</t>
  </si>
  <si>
    <t>2700 MHz Core i5-7200U</t>
  </si>
  <si>
    <t>anh.nguyenphamduy resigned 20/05/2024</t>
  </si>
  <si>
    <t>-Dat.tranquoc (IT Officer) resigned 11/3/2024</t>
  </si>
  <si>
    <t>MMA-LAP-0026</t>
  </si>
  <si>
    <t>22VN00000027</t>
  </si>
  <si>
    <t>AMMAVNMRC000027</t>
  </si>
  <si>
    <t>HRQCZH3</t>
  </si>
  <si>
    <t>MMA-LAP-0027</t>
  </si>
  <si>
    <t>22VN00000028</t>
  </si>
  <si>
    <t>AMMAVNMDCC000028</t>
  </si>
  <si>
    <t>GN8VKG3</t>
  </si>
  <si>
    <t>BÀN GIAO CHO Nghiêm Thị Hồng Vân – Senior Merchandise – Brand Department – On board 15/10/2023 (nâng 4gb Ram)</t>
  </si>
  <si>
    <t>MÁY CŨ LÊ TRẦN THIÊN MINH</t>
  </si>
  <si>
    <t>MMA-LAP-0028</t>
  </si>
  <si>
    <t>22VN00000029</t>
  </si>
  <si>
    <t>AMMAVNITC000029</t>
  </si>
  <si>
    <t>1P8VKG3</t>
  </si>
  <si>
    <t>Máy cũ Minh (sracecrow)</t>
  </si>
  <si>
    <t>Pham Thi Bao Tram (MKT) handover Feb-29-2024
Old hostname: AMMAVNMRC000029</t>
  </si>
  <si>
    <t>MMA-LAP-0029</t>
  </si>
  <si>
    <t>22VN00000030</t>
  </si>
  <si>
    <t>Huynh Thi Bich Ngan resigned NGuyenThao My resigned 13/11/2024</t>
  </si>
  <si>
    <t>AMMAVNMRC000030</t>
  </si>
  <si>
    <t>Thinkpad X280</t>
  </si>
  <si>
    <t>PC133K78</t>
  </si>
  <si>
    <t>- Replaced keyboard on 20-Aug-2023 
cấp cho :Nguyen Thao My 27/11/2023 (replace Phan Thi Thuy Tien)</t>
  </si>
  <si>
    <t>- Phan Thị Thủy Tiên đã thôi việc ngày 06/10/23
- Huỳnh Thị Bích Ngân – thôi việc ngày 13/10/2023</t>
  </si>
  <si>
    <t>MMA-LAP-0030</t>
  </si>
  <si>
    <t>22VN00000031</t>
  </si>
  <si>
    <t>AMMAVNMDC000031</t>
  </si>
  <si>
    <t>4DBCZH3</t>
  </si>
  <si>
    <t>SSD\</t>
  </si>
  <si>
    <t>MMA-LAP-0031</t>
  </si>
  <si>
    <t>22VN00000032</t>
  </si>
  <si>
    <t>AMMAVNLEC000032</t>
  </si>
  <si>
    <t>6GV7R93</t>
  </si>
  <si>
    <t>HDD (512 GB)
SSD (128 GB)</t>
  </si>
  <si>
    <t>Quỳnh MD Bàn giao trả máy ngày 24/08/2023 &gt; Chuyển sang cho Le Thi Kim Hồng (Legal) sử dụng ngày 11/09/2023</t>
  </si>
  <si>
    <t>MMA-LAP-0032</t>
  </si>
  <si>
    <t>22VN00000033</t>
  </si>
  <si>
    <t>AMMAVNMDC000033</t>
  </si>
  <si>
    <t>9P8VKG3</t>
  </si>
  <si>
    <t>MMA-LAP-0033</t>
  </si>
  <si>
    <t>22VN00000034</t>
  </si>
  <si>
    <t>AMMAVNMDC000034</t>
  </si>
  <si>
    <t>DGBJGL3</t>
  </si>
  <si>
    <t>MMA-LAP-0034</t>
  </si>
  <si>
    <t>22VN00000035</t>
  </si>
  <si>
    <t>AMMAVNMDC000035</t>
  </si>
  <si>
    <t>4CBCZH3</t>
  </si>
  <si>
    <t>MMA-LAP-0035</t>
  </si>
  <si>
    <t>22VN00000036</t>
  </si>
  <si>
    <t>Reserved</t>
  </si>
  <si>
    <t>KN10 bán cho Maison</t>
  </si>
  <si>
    <t>Pham My Tu old laptop</t>
  </si>
  <si>
    <t>AMMAVNMDC000036</t>
  </si>
  <si>
    <t>Ideapad 5-15ITL05(82FG00M5VN)</t>
  </si>
  <si>
    <t>PF2Q30RQ</t>
  </si>
  <si>
    <t>- Old laptop of Pham My Tu
- Cần cài lại Windows</t>
  </si>
  <si>
    <t>- Old laptop of Pham My Tu</t>
  </si>
  <si>
    <t>MMA-LAP-0036</t>
  </si>
  <si>
    <t>22VN00000037</t>
  </si>
  <si>
    <t>AMMAVNMDC000037</t>
  </si>
  <si>
    <t>6Q7JGL3</t>
  </si>
  <si>
    <t>MMA-LAP-0037</t>
  </si>
  <si>
    <t>22VN00000038</t>
  </si>
  <si>
    <t>Ms. Jolie resigned (keep for replacement)</t>
  </si>
  <si>
    <t>AMMAVNMDC000038</t>
  </si>
  <si>
    <t>4TS3SQ3</t>
  </si>
  <si>
    <t xml:space="preserve">Máy của TRƯƠNG HỒNG HƯƠNG BÀN GIAO (HIếu IT giữ) </t>
  </si>
  <si>
    <t>MMA-LAP-0038</t>
  </si>
  <si>
    <t>ost</t>
  </si>
  <si>
    <t>22VN00000039</t>
  </si>
  <si>
    <t>AMMAVNIT000039</t>
  </si>
  <si>
    <t>HGBJGL3</t>
  </si>
  <si>
    <t>256+512</t>
  </si>
  <si>
    <t>linh.thainhat resigned 24/04/2024</t>
  </si>
  <si>
    <t>MMA-LAP-0039</t>
  </si>
  <si>
    <t>22VN00000041</t>
  </si>
  <si>
    <t>Nguyen Thi Quynh Giang resigned</t>
  </si>
  <si>
    <t>AMMAVNBPC000041</t>
  </si>
  <si>
    <t xml:space="preserve">minh.lengocbao
</t>
  </si>
  <si>
    <t>GB23SQ3</t>
  </si>
  <si>
    <t>User giang.nguyenthiquynh bàn giao ngày 18/08/2023</t>
  </si>
  <si>
    <t>IT nhận máy bh ssd lỗi ngày 06/02/24(cmc)&gt; BH SAU TẾT
đã bh xong bàn giao user ngày 29/02/24</t>
  </si>
  <si>
    <t>MMA-LAP-0041</t>
  </si>
  <si>
    <t>22VN00000042</t>
  </si>
  <si>
    <t>AMMAVNICC000042</t>
  </si>
  <si>
    <t>J94JGL3</t>
  </si>
  <si>
    <t>MMA-LAP-0042</t>
  </si>
  <si>
    <t>22VN00000043</t>
  </si>
  <si>
    <t>Nguyen Thi Minh Thu</t>
  </si>
  <si>
    <t>Huong Planning resigned (keep for replacement)</t>
  </si>
  <si>
    <t>AMMAVNITC000043</t>
  </si>
  <si>
    <t>8F6JGL3</t>
  </si>
  <si>
    <t>Hiếu IT giữ</t>
  </si>
  <si>
    <t>.TRẦN QUỐC THIÊN HƯƠNG (May) left on 26 Sep 2023
.Anh Hiếu đang giữ</t>
  </si>
  <si>
    <t>MMA-LAP-0043</t>
  </si>
  <si>
    <t>22VN00000044</t>
  </si>
  <si>
    <t>AMMAVNMPC000044</t>
  </si>
  <si>
    <t>BGBJGL3</t>
  </si>
  <si>
    <t>MMA-LAP-0044</t>
  </si>
  <si>
    <t>22VN00000045</t>
  </si>
  <si>
    <t>AMMAVNOPC000045</t>
  </si>
  <si>
    <t>Latitude 7490</t>
  </si>
  <si>
    <t>8DBRMV2</t>
  </si>
  <si>
    <t>1900 MHz Core i5-8350U</t>
  </si>
  <si>
    <t>30/08/2023 Anh Trí OP bàn giao máy  ,setup cho nhân viên mới 1.	Võ Thị Hoàng Ánh Xuân – Operations Executive – Operations Department – On board 19/10/2023</t>
  </si>
  <si>
    <t>- Trí OM (bàn giao cho IT ngày 30/08/2023</t>
  </si>
  <si>
    <t>MMA-LAP-0045</t>
  </si>
  <si>
    <t>22VN00000046</t>
  </si>
  <si>
    <t>AMMAVNMDC000046</t>
  </si>
  <si>
    <t>5CD108K0PN</t>
  </si>
  <si>
    <t>máy cũ Đăng</t>
  </si>
  <si>
    <t>MMA-LAP-0046</t>
  </si>
  <si>
    <t>22VN00000047</t>
  </si>
  <si>
    <t>AMMAVNOPC000047</t>
  </si>
  <si>
    <t>1BXCZH3</t>
  </si>
  <si>
    <t>Máy HỒ HẢI ĐĂNG BÀN GIAO NGÀY 14/11/23</t>
  </si>
  <si>
    <t>MMA-LAP-0047</t>
  </si>
  <si>
    <t>22VN00000048</t>
  </si>
  <si>
    <t>AMMAVNITC000048 change to ZV37-ADMIN</t>
  </si>
  <si>
    <t>ThinkPad E490</t>
  </si>
  <si>
    <t>PF1JT4Q6</t>
  </si>
  <si>
    <t>- Máy cũ của Quỳnh AM HN,  IT ĐÃ THAY SSD 500GB
- 13-Nov-2023: gửi đi sửa USB, bản lề, phím change hostname to zv35</t>
  </si>
  <si>
    <t>Máy của Quỳnh Am bị hư ổ cứng nên trả máy về cho IT, CHO TUYỀN MD MƯỢN SỬ DỤNG TẠM</t>
  </si>
  <si>
    <t>MMA-LAP-0048</t>
  </si>
  <si>
    <t>22VN00000049</t>
  </si>
  <si>
    <t>AMMAVNMDC000049</t>
  </si>
  <si>
    <t>6R4JGL3</t>
  </si>
  <si>
    <t>MMA-LAP-0049</t>
  </si>
  <si>
    <t>22VN00000050</t>
  </si>
  <si>
    <t xml:space="preserve">  Nghia old laptop (reserved for Duong Quang Minh Tuan) </t>
  </si>
  <si>
    <t>AMMAVNITC000050</t>
  </si>
  <si>
    <t>9NN2SQ3</t>
  </si>
  <si>
    <t>Đã bảo hành, thay SSD và cài Win 11 &amp; update driver full</t>
  </si>
  <si>
    <t>THOI HUU NGHIA (PnD) OLD LAPTOP
Thu hồi  laptop 3520 và bàn giao laptop 5430 của Nghĩa PJ cho Dương Quang Minh Tuấn Op</t>
  </si>
  <si>
    <t>MMA-LAP-0050</t>
  </si>
  <si>
    <t>22VN00000051</t>
  </si>
  <si>
    <t>AMMAVNACC000051</t>
  </si>
  <si>
    <t>mai.nguyenthihuynh</t>
  </si>
  <si>
    <t>66XN2F3</t>
  </si>
  <si>
    <t>Đã cài lại win 10 và  bàn giao cho chị Maya</t>
  </si>
  <si>
    <t>Huynh Ngoc Son old laptop (reserved for Ms. Maya)</t>
  </si>
  <si>
    <t>MMA-LAP-0051</t>
  </si>
  <si>
    <t>22VN00000075</t>
  </si>
  <si>
    <t>AMMAVNPDC000052</t>
  </si>
  <si>
    <t>61N8RQ3</t>
  </si>
  <si>
    <t>19/04/2024 tra.truongvantin resigned</t>
  </si>
  <si>
    <t>tra.truongvantin</t>
  </si>
  <si>
    <t>MMA-LAP-0052</t>
  </si>
  <si>
    <t>22VN00000053</t>
  </si>
  <si>
    <t>AMMAVNWSC000053</t>
  </si>
  <si>
    <t>4BH2SQ3</t>
  </si>
  <si>
    <t>MMA-LAP-0053</t>
  </si>
  <si>
    <t>22VN00000054</t>
  </si>
  <si>
    <t>AMMAVNWSC000054</t>
  </si>
  <si>
    <t>DQ9VKG3</t>
  </si>
  <si>
    <t>MMA-LAP-0054</t>
  </si>
  <si>
    <t>22VN00000055</t>
  </si>
  <si>
    <t>AMMAVNWSC000055</t>
  </si>
  <si>
    <t>FR8VKG3</t>
  </si>
  <si>
    <t>MMA-LAP-0055</t>
  </si>
  <si>
    <t>22VN00000056</t>
  </si>
  <si>
    <t>AMMAVNWSC000056</t>
  </si>
  <si>
    <t>CR8VKG3</t>
  </si>
  <si>
    <t>MMA-LAP-0056</t>
  </si>
  <si>
    <t>22VN00000057</t>
  </si>
  <si>
    <t>AMMAVNWSC000057</t>
  </si>
  <si>
    <t>2R9VKG3</t>
  </si>
  <si>
    <t>MMA-LAP-0057</t>
  </si>
  <si>
    <t>22VN00000058</t>
  </si>
  <si>
    <t>AMMAVNECC000058</t>
  </si>
  <si>
    <t>C3KCZH3</t>
  </si>
  <si>
    <t>MMA-LAP-0058</t>
  </si>
  <si>
    <t>22VN00000059</t>
  </si>
  <si>
    <t>Digital Commercial Manager</t>
  </si>
  <si>
    <t>AMMAVNECC000059</t>
  </si>
  <si>
    <t>binh.nguyenmy</t>
  </si>
  <si>
    <t>DGGDZH3</t>
  </si>
  <si>
    <t xml:space="preserve">Anh hieu.trantrung bàn giao máy ngày 31/08/2023
ngoc.nguyenduyen Máy lỗi xuất hdmi 23/4/2024 </t>
  </si>
  <si>
    <t>MMA-LAP-0059</t>
  </si>
  <si>
    <t>22VN00000060</t>
  </si>
  <si>
    <t>Foot Locker Suppervisior(NGuyen Si Anh)</t>
  </si>
  <si>
    <t>Foot Locker Suppervisior</t>
  </si>
  <si>
    <t>AMMAVNOPC000060</t>
  </si>
  <si>
    <t>PC0UQCVY</t>
  </si>
  <si>
    <t>MMA-LAP-0060</t>
  </si>
  <si>
    <t>22VN00000061</t>
  </si>
  <si>
    <t>AMMAVNMDC000061</t>
  </si>
  <si>
    <t>3KZCKG3</t>
  </si>
  <si>
    <t>MMA-LAP-0061</t>
  </si>
  <si>
    <t>22VN00000062</t>
  </si>
  <si>
    <t>AMMAVNPDC000062</t>
  </si>
  <si>
    <t>71GCGG3</t>
  </si>
  <si>
    <t>loan.nguyenhoang@mapactive.vn resigned 10/5/24</t>
  </si>
  <si>
    <t>MMA-LAP-0062</t>
  </si>
  <si>
    <t>22VN00000063</t>
  </si>
  <si>
    <t>AMMAVNCEC000063</t>
  </si>
  <si>
    <t>9JYF7S3</t>
  </si>
  <si>
    <t>MMA-LAP-0063</t>
  </si>
  <si>
    <t>22VN00000064</t>
  </si>
  <si>
    <t>AMMAVNOPC000064</t>
  </si>
  <si>
    <t>B8972T3</t>
  </si>
  <si>
    <t>Hiếu IT giữ, hư touchpad</t>
  </si>
  <si>
    <t>Nguyễn Thị Hải Đường off 23/06/2023 , Trần Thị Kim Tuyết off 14/06/2024</t>
  </si>
  <si>
    <t>MMA-LAP-0064</t>
  </si>
  <si>
    <t>22VN00000065</t>
  </si>
  <si>
    <t>AMMAVNLEC000065</t>
  </si>
  <si>
    <t>42V72T3</t>
  </si>
  <si>
    <t>MMA-LAP-0065</t>
  </si>
  <si>
    <t>22VN00000066</t>
  </si>
  <si>
    <t>AMMAVNLOC000066</t>
  </si>
  <si>
    <t>JWZF7S3</t>
  </si>
  <si>
    <t>MMA-LAP-0066</t>
  </si>
  <si>
    <t>22VN00000067</t>
  </si>
  <si>
    <t>AMMAVNMDC000067</t>
  </si>
  <si>
    <t>5CD250F9YL</t>
  </si>
  <si>
    <t>MMA-LAP-0067</t>
  </si>
  <si>
    <t>22VN00000069</t>
  </si>
  <si>
    <t>AMMAVNITC000069</t>
  </si>
  <si>
    <t>3DYF7S3</t>
  </si>
  <si>
    <t>MMA-LAP-0069</t>
  </si>
  <si>
    <t>22VN00000070</t>
  </si>
  <si>
    <t>AMMAVNACC000070</t>
  </si>
  <si>
    <t>H3NVHW3</t>
  </si>
  <si>
    <t>MMA-LAP-0070</t>
  </si>
  <si>
    <t>22VN00000071</t>
  </si>
  <si>
    <t>AMMAVNITC000071</t>
  </si>
  <si>
    <t>BJ972T3</t>
  </si>
  <si>
    <t>Máy của a AN(IT) 
Đổi ổ cứng vs XX81 (Máy A huy)</t>
  </si>
  <si>
    <t>MMA-LAP-0071</t>
  </si>
  <si>
    <t>22VN00000072</t>
  </si>
  <si>
    <t>AMMAVNTAC000072</t>
  </si>
  <si>
    <t>1KHVHW3</t>
  </si>
  <si>
    <t>MMA-LAP-0072</t>
  </si>
  <si>
    <t>22VN00000073</t>
  </si>
  <si>
    <t>AMMAVNMDC000073</t>
  </si>
  <si>
    <t>7X82HW3</t>
  </si>
  <si>
    <t>MMA-LAP-0073</t>
  </si>
  <si>
    <t>22VN00000074</t>
  </si>
  <si>
    <t>AMMAVNMRC000074</t>
  </si>
  <si>
    <t>PC0VT5R5</t>
  </si>
  <si>
    <t xml:space="preserve">INTEL (R) CORE (TM) I5-8250U 1.60GHZ (8CPUS) </t>
  </si>
  <si>
    <t xml:space="preserve"> Sóng Nam nhận máy về kiểm tra và báo giá chi phí sửa màn hình bị giật 29-01-2024</t>
  </si>
  <si>
    <t>- Pham Thi My Dung quit job 02/10/2023
-Lê Ngọc Bích Trâm – Marketing Supervisor – Marketing Department (Foot Locker) – On board 20/10/2023 
&gt; Gửi sóng nam sửa màn hình bị giật khung hình 29-01-24&gt; done</t>
  </si>
  <si>
    <t>MMA-LAP-0074</t>
  </si>
  <si>
    <t>22VN00000052</t>
  </si>
  <si>
    <t>Laptop Quynh AM (resigned)</t>
  </si>
  <si>
    <t>AMMAVNOPC000075</t>
  </si>
  <si>
    <t>2NS0HW3</t>
  </si>
  <si>
    <t>Quynh.nguyennhu resigned</t>
  </si>
  <si>
    <t>MMA-LAP-0075</t>
  </si>
  <si>
    <t>22VN00000076</t>
  </si>
  <si>
    <t>AMMAVNECC000076</t>
  </si>
  <si>
    <t>CXJ8VV3</t>
  </si>
  <si>
    <t>MMA-LAP-0076</t>
  </si>
  <si>
    <t>22VN00000077</t>
  </si>
  <si>
    <t>Tran Vu Kim Chi</t>
  </si>
  <si>
    <t>AMMAVNMDC000077</t>
  </si>
  <si>
    <t>chi.tranvukim</t>
  </si>
  <si>
    <t>6MS0HW3</t>
  </si>
  <si>
    <t>laptop cũ Nguyễn Đỗ Hiền đã bàn giaocho IT ngay7/02/14 
Cho Trần Vũ Kim Chi Mượn máy ngày 07/02/2024</t>
  </si>
  <si>
    <t>MMA-LAP-0077</t>
  </si>
  <si>
    <t>22VN00000078</t>
  </si>
  <si>
    <t>AMMAVNGDC000078</t>
  </si>
  <si>
    <t>G15 5520</t>
  </si>
  <si>
    <t>9R2B9T3</t>
  </si>
  <si>
    <t>12TH GEN INTEL CORE I7-12700H(20CPU)2.3GHZ SSD512GB-GEFORCE GTX 3060</t>
  </si>
  <si>
    <t>MMA-LAP-0078</t>
  </si>
  <si>
    <t>22VN00000079</t>
  </si>
  <si>
    <t>AMMAVNGDD000079</t>
  </si>
  <si>
    <t>Pavilion 590-p0xxx</t>
  </si>
  <si>
    <t>8CG824CV0T</t>
  </si>
  <si>
    <t>HDD (1 TB)
SSD (512 GB)</t>
  </si>
  <si>
    <t>2800 MHz Core i5-8400 HDD 1TB-SSD 240GB</t>
  </si>
  <si>
    <t>- NGUYỄN NGỌC LAN ANH (Sophie)
- Lê Thanh Duyên</t>
  </si>
  <si>
    <t>MMA-DES-0001</t>
  </si>
  <si>
    <t>22VN00000080</t>
  </si>
  <si>
    <t>AMMAVNMDC000080</t>
  </si>
  <si>
    <t>FLQ85R3</t>
  </si>
  <si>
    <t>12TH GEN INTEL CORE I7-12700H(20CPU)2.3GHZ SSD512GB-GEFORCE GTX 2050TI</t>
  </si>
  <si>
    <t>MMA-LAP-0079</t>
  </si>
  <si>
    <t>22VN00000081</t>
  </si>
  <si>
    <t>AMMAVNOPC000081</t>
  </si>
  <si>
    <t>F598VV3</t>
  </si>
  <si>
    <t>Hư swap với máy a an(71)</t>
  </si>
  <si>
    <t>MMA-LAP-0080</t>
  </si>
  <si>
    <t>22VN00000082</t>
  </si>
  <si>
    <t>AMMAVNMDC000082</t>
  </si>
  <si>
    <t>DL0G7S3</t>
  </si>
  <si>
    <t>MMA-LAP-0081</t>
  </si>
  <si>
    <t>22VN00000068</t>
  </si>
  <si>
    <t>AMMAVNMPC000068</t>
  </si>
  <si>
    <t>6SYF7S3</t>
  </si>
  <si>
    <t>- 13/5/24 Vo Thi Hoang Anh Xuan OPSCCTV - Cấp cho Vân sale(máy chị ấy bị hở bản lề)</t>
  </si>
  <si>
    <t>- Tran Thi Toan My reassigned
- 13/5/24 Vo Thi Hoang Anh Xuan OPSCCTV</t>
  </si>
  <si>
    <t>MMA-LAP-0068</t>
  </si>
  <si>
    <t>Plan as the last resort for NB Diamond (faulty HDD)</t>
  </si>
  <si>
    <t>22VN00000083</t>
  </si>
  <si>
    <t>AMMAVNMPC000083</t>
  </si>
  <si>
    <t>5YSSKS3</t>
  </si>
  <si>
    <t>nhung.nguyenthituyet resigned</t>
  </si>
  <si>
    <t>MMA-LAP-0082</t>
  </si>
  <si>
    <t>22VN00000084</t>
  </si>
  <si>
    <t>AMMAVNTAC000084</t>
  </si>
  <si>
    <t>BXSSKS3</t>
  </si>
  <si>
    <t>Luong resigned</t>
  </si>
  <si>
    <t>MMA-LAP-0083</t>
  </si>
  <si>
    <t>22VN00000086</t>
  </si>
  <si>
    <t>Nguyen Ha Phuong Uyen</t>
  </si>
  <si>
    <t xml:space="preserve">Nguyen Nhu Quynh (Brand Manager Bata) old laptop </t>
  </si>
  <si>
    <t>AMMAVNMDC000086</t>
  </si>
  <si>
    <t>uyen.nguyenhaphuong</t>
  </si>
  <si>
    <t>4084RV3</t>
  </si>
  <si>
    <t>12th Gen Intel(R) Core(TM) i5-1235U[Cores 12</t>
  </si>
  <si>
    <t>Đang cấp tạm cho chị Uyên ngày 18/03/2024</t>
  </si>
  <si>
    <t>31/01/2024 Nguyen Nhu Quynh (Brand Manager Bata) resigned</t>
  </si>
  <si>
    <t>MMA-LAP-0085</t>
  </si>
  <si>
    <t>22VN00000087</t>
  </si>
  <si>
    <t>AMMAVNMDC000087</t>
  </si>
  <si>
    <t>2XSSKS3</t>
  </si>
  <si>
    <t>MMA-LAP-0086</t>
  </si>
  <si>
    <t>AMMAVNHRD000088</t>
  </si>
  <si>
    <t>ProDesk 400 G3 Mini</t>
  </si>
  <si>
    <t xml:space="preserve">Intel (R) CORE (TM) I5-7500T.2.7GHZ (4CPUS) </t>
  </si>
  <si>
    <t>22VN00000089</t>
  </si>
  <si>
    <t xml:space="preserve"> Accounting Intern</t>
  </si>
  <si>
    <t xml:space="preserve"> Accounting Intern (Le Nhi)</t>
  </si>
  <si>
    <t>AMMAVNACD000089</t>
  </si>
  <si>
    <t>8CG75234Q1</t>
  </si>
  <si>
    <t>25/02/2024 bàn giao intern accounting</t>
  </si>
  <si>
    <t>- Trước đó cấp cho Accounting Intern</t>
  </si>
  <si>
    <t>22VN00000091</t>
  </si>
  <si>
    <t>Marketing intern</t>
  </si>
  <si>
    <t>AMMAVNITC000091</t>
  </si>
  <si>
    <t>PC0VT5RC</t>
  </si>
  <si>
    <t>- Ni HR old laptop, CẤP TẠM CHO NGHIÊM THỊ HỒNG VÂN NGÀY 07/02/24 
đã trả IT lưu kho</t>
  </si>
  <si>
    <t>22VN00000092</t>
  </si>
  <si>
    <t>AMMAVNMDC000092</t>
  </si>
  <si>
    <t>1GHVHW3</t>
  </si>
  <si>
    <t>22VN00000093</t>
  </si>
  <si>
    <t>IT (PC-PRINTER)</t>
  </si>
  <si>
    <t>PC for color printing</t>
  </si>
  <si>
    <t>AMMAVNITD000093</t>
  </si>
  <si>
    <t>DeLUX</t>
  </si>
  <si>
    <t>DH67VR</t>
  </si>
  <si>
    <t xml:space="preserve">INTEL (R) CORE (TM) I5-2400.3.1GHZ (8CPUS) </t>
  </si>
  <si>
    <t>22VN00000094</t>
  </si>
  <si>
    <t>Intern Acc</t>
  </si>
  <si>
    <t>AMMAVNOPC000094</t>
  </si>
  <si>
    <t>9ZHQRV3</t>
  </si>
  <si>
    <t>Máy cũ của Thy.nguyenhoanganh
05/Dec/2024 bàn giao cho Intern Accounting\</t>
  </si>
  <si>
    <t>minh.letranthien@mapactive.vn  resigned thy.nguyenhoanganh resigned chi Mai giữ máy</t>
  </si>
  <si>
    <t>22VN00000095</t>
  </si>
  <si>
    <t>IT Backup</t>
  </si>
  <si>
    <t>Inter MKT Nguyễn Hồng Thị Minh Bình</t>
  </si>
  <si>
    <t>AMMAVNITC000095</t>
  </si>
  <si>
    <t>PC0VSNY2</t>
  </si>
  <si>
    <t>INTEL® CORE ™I5-8250u CPU 1.60 GhZ</t>
  </si>
  <si>
    <t xml:space="preserve">- 13-Nov-2023: gửi đi sửa USB, bản lề, phím
- Đã sửa xong
</t>
  </si>
  <si>
    <t>Laptop Tran Thu Huyen (AM Hai Phong) - dùng cho Supervisor Store VC03 &amp; VE01 CHAMPION &amp; NewEra AEON MALL HẢI PHÒNG</t>
  </si>
  <si>
    <t>22VN00000096</t>
  </si>
  <si>
    <t xml:space="preserve">LAPTOP OLD  VANHUYNHTU TRINH </t>
  </si>
  <si>
    <t>AMMAVNMRC000096</t>
  </si>
  <si>
    <t>`</t>
  </si>
  <si>
    <t>PC12PNNM</t>
  </si>
  <si>
    <t>CẦN NÂNG CẤP RAM ,laptop cũ VANHUYNHTU TRINH  , bàn giao cho Nguyen Thi Phuong Dung ngày 23/11/2023, thu hồi lại ngày 01/03/2024&gt;ITbackup</t>
  </si>
  <si>
    <t>LAPTOP CŨ TÚ TRINH ACC
Cấp cho Dung Marketing</t>
  </si>
  <si>
    <t>22VN00000097</t>
  </si>
  <si>
    <t>New 5430 Laptop provide Tran Vu Kim Chi – Brand Division Manager (Foot Locker)</t>
  </si>
  <si>
    <t>AMMAVNHRC000097</t>
  </si>
  <si>
    <t>van.luugiangcam</t>
  </si>
  <si>
    <t>B1K8VV3</t>
  </si>
  <si>
    <t>THAY  CHO VICKY (HR), TRƯỚC ĐÓ MUA CHO TRẦN VŨ KIM CHI (BRND MANAGER )</t>
  </si>
  <si>
    <t>22VN00000098</t>
  </si>
  <si>
    <t>Mai Nguyen Diem Quynh</t>
  </si>
  <si>
    <t>AMMAVNACC000098</t>
  </si>
  <si>
    <t>quynh.mainguyendiem</t>
  </si>
  <si>
    <t>F650FX3</t>
  </si>
  <si>
    <t>Lô 6 Laptop swap mua hàng với Cambodia</t>
  </si>
  <si>
    <t>Replace the old laptop of Quynh.mainguyendiem</t>
  </si>
  <si>
    <t>22VN00000099</t>
  </si>
  <si>
    <t>new laptop 3420 provide Thoi Huu Nghia( Project team)</t>
  </si>
  <si>
    <t>AMMAVNPDC000099</t>
  </si>
  <si>
    <t>nghia.thoihuu</t>
  </si>
  <si>
    <t>2R20FX3</t>
  </si>
  <si>
    <t>Swap old laptop of NGHIA.THOIHUU</t>
  </si>
  <si>
    <t>22VN00000100</t>
  </si>
  <si>
    <t>Huynh Ngoc Son (Project Supervisor)</t>
  </si>
  <si>
    <t>AMMAVNPDC000100</t>
  </si>
  <si>
    <t>son.huynhngoc</t>
  </si>
  <si>
    <t>JJNZDX3</t>
  </si>
  <si>
    <t>SWAP OLD LAPTOP  OF SON.HUYNHNGOC</t>
  </si>
  <si>
    <t>22VN00000101</t>
  </si>
  <si>
    <t>AMMAVNMDC000101</t>
  </si>
  <si>
    <t>tu.phammy</t>
  </si>
  <si>
    <t>2Q20FX3</t>
  </si>
  <si>
    <t xml:space="preserve">Swap old laptop of Pham My Tu </t>
  </si>
  <si>
    <t>22VN00000102</t>
  </si>
  <si>
    <t>AMMAVNITC000102</t>
  </si>
  <si>
    <t>CY40FX3</t>
  </si>
  <si>
    <t>22VN00000103</t>
  </si>
  <si>
    <t>AMMAVNLOC000103</t>
  </si>
  <si>
    <t>69LXDX3</t>
  </si>
  <si>
    <t>Lô 6 Laptop swap mua hàng với Cambodia
swap laptop of  Nguyen Hoang Anh Thy</t>
  </si>
  <si>
    <t>22VN00000104</t>
  </si>
  <si>
    <t>AMMAVNAMC000104</t>
  </si>
  <si>
    <t>29XCZH3</t>
  </si>
  <si>
    <t>11th GEN Intel(R) i5 -1135g7@ 2.40Ghz</t>
  </si>
  <si>
    <t>LAPTOP CŨ CỦA JEETAN 
 thêm Ram 8Gb lấy từ máy Converse Takashimaya lắp cho Mr.Darryl (07-Feb-2024)</t>
  </si>
  <si>
    <t>22VN00000105</t>
  </si>
  <si>
    <t>Head of Finance</t>
  </si>
  <si>
    <t>AMMAVNACC000105</t>
  </si>
  <si>
    <t>Elite x360 1040</t>
  </si>
  <si>
    <t>5CG3401CPM</t>
  </si>
  <si>
    <t>1TB</t>
  </si>
  <si>
    <t>13th GEN Intel(R) i7 -1355U 1.70Ghz</t>
  </si>
  <si>
    <t>Uyen</t>
  </si>
  <si>
    <t>22VN00000106</t>
  </si>
  <si>
    <t>AMMAVNAMC000106</t>
  </si>
  <si>
    <t>5CG3404MX5</t>
  </si>
  <si>
    <t>Darryl</t>
  </si>
  <si>
    <t>22VN00110009</t>
  </si>
  <si>
    <t>AMMAVNITC000107</t>
  </si>
  <si>
    <t>14s-cf2xxx</t>
  </si>
  <si>
    <t>5CG11088PT</t>
  </si>
  <si>
    <t xml:space="preserve">1100 MHz Pentium Silver N5030 </t>
  </si>
  <si>
    <t>Trước đó dùng cho store VI02- SMIGGLE TAKASHIMAYA , IT THU HỒI NGÀY 21-02-24, cài lại win 10 dùng làm IT backup</t>
  </si>
  <si>
    <t>No</t>
  </si>
  <si>
    <t>Email Address</t>
  </si>
  <si>
    <t>Full Name</t>
  </si>
  <si>
    <t>Display Name</t>
  </si>
  <si>
    <t>Geodis.cs1@mapactive.vn</t>
  </si>
  <si>
    <t>Geodis.cs1</t>
  </si>
  <si>
    <t>Geodis cs1</t>
  </si>
  <si>
    <t>Geodis.cs2@mapactive.vn</t>
  </si>
  <si>
    <t>Geodis.cs2</t>
  </si>
  <si>
    <t>Geodis cs2</t>
  </si>
  <si>
    <t>Geodis.cs3@mapactive.vn</t>
  </si>
  <si>
    <t>Geodis.cs3</t>
  </si>
  <si>
    <t>Geodis cs3</t>
  </si>
  <si>
    <t>Geodis.inbound1@mapactive.vn</t>
  </si>
  <si>
    <t>Geodis.inbound1</t>
  </si>
  <si>
    <t>Geodis inbound1</t>
  </si>
  <si>
    <t>Geodis.inbound2@mapactive.vn</t>
  </si>
  <si>
    <t>Geodis.inbound2</t>
  </si>
  <si>
    <t>Geodis inbound2</t>
  </si>
  <si>
    <t>Geodis.outobund1@mapactive.vn</t>
  </si>
  <si>
    <t>Geodis.outobund1</t>
  </si>
  <si>
    <t>Geodis outbound1</t>
  </si>
  <si>
    <t>Geodis.outbound2@mapactive.vn</t>
  </si>
  <si>
    <t>Geodis.outbound2</t>
  </si>
  <si>
    <t>Geodis outbound2</t>
  </si>
  <si>
    <t>None</t>
  </si>
  <si>
    <t>No need</t>
  </si>
  <si>
    <t>Foot Locker</t>
  </si>
  <si>
    <t>Country</t>
  </si>
  <si>
    <t>Department</t>
  </si>
  <si>
    <t>Business Development</t>
  </si>
  <si>
    <t>Graphic Designer</t>
  </si>
  <si>
    <t>HR</t>
  </si>
  <si>
    <t>Legal</t>
  </si>
  <si>
    <t>Marketing</t>
  </si>
  <si>
    <t>Operation</t>
  </si>
  <si>
    <t>Training</t>
  </si>
  <si>
    <t>Assigned Asset</t>
  </si>
  <si>
    <t>English Name</t>
  </si>
  <si>
    <t>JOB TITLE</t>
  </si>
  <si>
    <t>O365 license</t>
  </si>
  <si>
    <t>Type</t>
  </si>
  <si>
    <t>Onboarding Date</t>
  </si>
  <si>
    <t>Request email</t>
  </si>
  <si>
    <t>Purchasing Request</t>
  </si>
  <si>
    <t>Laptop model</t>
  </si>
  <si>
    <t>Laptop delivery</t>
  </si>
  <si>
    <t>Handover to user</t>
  </si>
  <si>
    <t>MAP Level</t>
  </si>
  <si>
    <t>uyen.nguyenhaphuong@mapactive.vn</t>
  </si>
  <si>
    <t>Nguyễn Hà Phượng Uyên</t>
  </si>
  <si>
    <t>Dory</t>
  </si>
  <si>
    <t>BOD (Finance)</t>
  </si>
  <si>
    <t>General Manager &amp; Finance Controller</t>
  </si>
  <si>
    <t>E3</t>
  </si>
  <si>
    <t>VN</t>
  </si>
  <si>
    <t>Senior General Manager</t>
  </si>
  <si>
    <t>phung.tietnha@mapactive.vn</t>
  </si>
  <si>
    <t>Tiết Nhã Phụng</t>
  </si>
  <si>
    <t>Tiet Nha Phung</t>
  </si>
  <si>
    <t>Brand Manager (Converse)</t>
  </si>
  <si>
    <t>Senior Manager</t>
  </si>
  <si>
    <t>tam.dangthithanh@mapactive.vn</t>
  </si>
  <si>
    <t>Đặng Thị Thanh Tâm</t>
  </si>
  <si>
    <t>Dang Thi Thanh Tam</t>
  </si>
  <si>
    <t>Tansy</t>
  </si>
  <si>
    <t>Brand Manager (NB, Crocs)</t>
  </si>
  <si>
    <t>van.luugiangcam@mapactive.vn</t>
  </si>
  <si>
    <t>Lưu Giang Cẩm Vân</t>
  </si>
  <si>
    <t>Luu Giang Cam Van</t>
  </si>
  <si>
    <t>Vicky</t>
  </si>
  <si>
    <t>HR &amp; Admin Manager</t>
  </si>
  <si>
    <t>Manager</t>
  </si>
  <si>
    <t>them.quanthanh@mapactive.vn</t>
  </si>
  <si>
    <t>Quan Thanh Thềm</t>
  </si>
  <si>
    <t>COE Manager</t>
  </si>
  <si>
    <t>nghia.thoihuu@mapactive.vn</t>
  </si>
  <si>
    <t>Thới Hũu Nghĩa</t>
  </si>
  <si>
    <t>Thoi Huu Nghia</t>
  </si>
  <si>
    <t>Senior Project Manager</t>
  </si>
  <si>
    <t>tuyen.vothuyminh@mapactive.vn</t>
  </si>
  <si>
    <t>Võ Thụy Minh Tuyền</t>
  </si>
  <si>
    <t>Vo Thuy Minh Tuyen</t>
  </si>
  <si>
    <t>Senior Merchandise</t>
  </si>
  <si>
    <t>Associate Manager</t>
  </si>
  <si>
    <t>tu.phammy@mapactive.vn</t>
  </si>
  <si>
    <t>Phạm Mỹ Tú</t>
  </si>
  <si>
    <t>Pham My Tu</t>
  </si>
  <si>
    <t>thanh.nguyenphuoc@mapactive.vn</t>
  </si>
  <si>
    <t>Nguyễn Phước Thạnh</t>
  </si>
  <si>
    <t>Nguyen Phuoc Thanh</t>
  </si>
  <si>
    <t>Merchandiser</t>
  </si>
  <si>
    <t>Senior Executive</t>
  </si>
  <si>
    <t>linh.lecam@mapactive.vn</t>
  </si>
  <si>
    <t xml:space="preserve">Lê Cẩm Linh </t>
  </si>
  <si>
    <t>Le Cam Linh</t>
  </si>
  <si>
    <t>Shipping Supervisor</t>
  </si>
  <si>
    <t>tram.ngothibich@mapactive.vn</t>
  </si>
  <si>
    <t>Ngô Thị Bích Trâm</t>
  </si>
  <si>
    <t>Ngo Thi Bich Tram</t>
  </si>
  <si>
    <t>Shipping Officer</t>
  </si>
  <si>
    <t>Senior Associate</t>
  </si>
  <si>
    <t>tuyet.lethianh@mapactive.vn</t>
  </si>
  <si>
    <t>Lê Thị Ánh Tuyết</t>
  </si>
  <si>
    <t>Le Thi Anh Tuyet</t>
  </si>
  <si>
    <t>Tax &amp; Accounting Assistant Manager</t>
  </si>
  <si>
    <t>tuan.ngoanh@mapactive.vn</t>
  </si>
  <si>
    <t>Ngô Anh Tuấn</t>
  </si>
  <si>
    <t>Ngo Anh Tuan</t>
  </si>
  <si>
    <t>Senior Wholesaler</t>
  </si>
  <si>
    <t>Executive</t>
  </si>
  <si>
    <t>thang.nguyennam@mapactive.vn</t>
  </si>
  <si>
    <t>Nguyễn Nam Thắng</t>
  </si>
  <si>
    <t>Nguyen Nam Thang</t>
  </si>
  <si>
    <t>nam.dangthanh@mapactive.vn</t>
  </si>
  <si>
    <t>Đặng Thành Nam</t>
  </si>
  <si>
    <t>Dang Thanh Nam</t>
  </si>
  <si>
    <t>Warehouse and Distribution Supervisor</t>
  </si>
  <si>
    <t>quynh.mainguyendiem@mapactive.vn</t>
  </si>
  <si>
    <t>Mai Nguyễn Diễm Quỳnh</t>
  </si>
  <si>
    <t>Payable Accountant</t>
  </si>
  <si>
    <t>danh.huynhmy@mapactive.vn</t>
  </si>
  <si>
    <t xml:space="preserve">Huỳnh Mỹ Danh </t>
  </si>
  <si>
    <t>Huynh My Danh</t>
  </si>
  <si>
    <t>FP&amp;A Supervisor</t>
  </si>
  <si>
    <t>trinh.vanhuynhtu@mapactive.vn</t>
  </si>
  <si>
    <t>Văn Huỳnh Tú Trinh</t>
  </si>
  <si>
    <t>Van Huynh Tu Trinh</t>
  </si>
  <si>
    <t>Receivable Accountant</t>
  </si>
  <si>
    <t>Associate</t>
  </si>
  <si>
    <t>thang.nguyenquyet@mapactive.vn</t>
  </si>
  <si>
    <t>Nguyễn Quyết Thắng</t>
  </si>
  <si>
    <t>Nguyen Quyet Thang</t>
  </si>
  <si>
    <t>COE Officer</t>
  </si>
  <si>
    <t>binh.ngotieu@mapactive.vn</t>
  </si>
  <si>
    <t>Ngô Tiểu Bình</t>
  </si>
  <si>
    <t>Ngo Tieu Binh</t>
  </si>
  <si>
    <t>HR Executive</t>
  </si>
  <si>
    <t>son.huynhngoc@mapactive.vn</t>
  </si>
  <si>
    <t>Huỳnh Ngọc Sơn</t>
  </si>
  <si>
    <t>Huynh Ngoc Son</t>
  </si>
  <si>
    <t>Project Supervisor</t>
  </si>
  <si>
    <t>huy.nguyenquoc@mapactive.vn</t>
  </si>
  <si>
    <t>Nguyễn Quốc Huy</t>
  </si>
  <si>
    <t>Nguyen Quoc Huy</t>
  </si>
  <si>
    <t>Visual Merchandise Supervisor</t>
  </si>
  <si>
    <t>duyen.nguyenngocxuan@mapactive.vn</t>
  </si>
  <si>
    <t>Nguyễn Ngọc Xuân Duyên</t>
  </si>
  <si>
    <t>Nguyen Ngoc Xuan Duyen</t>
  </si>
  <si>
    <t>tram.duongthibao@mapactive.vn</t>
  </si>
  <si>
    <t>Dương Thị Bảo Trâm</t>
  </si>
  <si>
    <t>Duong Thi Bao Tram</t>
  </si>
  <si>
    <t>Wholesale Admin</t>
  </si>
  <si>
    <t>anh.nguyenngoclan@mapactive.vn</t>
  </si>
  <si>
    <t>Nguyễn Ngọc Lan Anh</t>
  </si>
  <si>
    <t>Nguyen Ngoc Lan Anh</t>
  </si>
  <si>
    <t>Sophie</t>
  </si>
  <si>
    <t>trinh.tranngocdoan@mapactive.vn</t>
  </si>
  <si>
    <t>Trần Ngọc Đoan Trinh</t>
  </si>
  <si>
    <t>Tran Ngoc Doan Trinh</t>
  </si>
  <si>
    <t>linh.lengocmy@mapactive.vn</t>
  </si>
  <si>
    <t xml:space="preserve">Lê Ngoc Mỹ Linh </t>
  </si>
  <si>
    <t>Le Ngoc My Linh</t>
  </si>
  <si>
    <t>nhi.tranthiyen@mapactive.vn</t>
  </si>
  <si>
    <t>Trần Thị Yến Nhi</t>
  </si>
  <si>
    <t>Tran Thi Yen Nhi</t>
  </si>
  <si>
    <t>Payroll &amp; Em. Servieces Executive</t>
  </si>
  <si>
    <t>ni.ksormahhko@mapactive.vn</t>
  </si>
  <si>
    <t>Ksormahhko NI</t>
  </si>
  <si>
    <t>Ni Ksormahhko</t>
  </si>
  <si>
    <t>Procurement Executive</t>
  </si>
  <si>
    <t>lan.nguyenphuong@mapactive.vn</t>
  </si>
  <si>
    <t>Nguyễn Phương Lan</t>
  </si>
  <si>
    <t>Nguyen Phuong Lan</t>
  </si>
  <si>
    <t>Legal Manager</t>
  </si>
  <si>
    <t>Done</t>
  </si>
  <si>
    <t>syed.umairhassan@mapactive.vn</t>
  </si>
  <si>
    <t>Syed Umair Hassan</t>
  </si>
  <si>
    <t>BOD (Merchandise)</t>
  </si>
  <si>
    <t>GM Merchandise</t>
  </si>
  <si>
    <t>Using the HP Laptop of Birkenstock Diamond Plaza</t>
  </si>
  <si>
    <t>quan.luonghuu@mapactive.vn</t>
  </si>
  <si>
    <t>Lương Hữu Quân</t>
  </si>
  <si>
    <t>Luong Huu Quan</t>
  </si>
  <si>
    <t>IT Infrastructure &amp; Operations Supervisor</t>
  </si>
  <si>
    <t>nhan.huynhtuan@mapactive.vn</t>
  </si>
  <si>
    <t>Huỳnh Tuấn Nhân</t>
  </si>
  <si>
    <t>Huynh Tuan Nhan</t>
  </si>
  <si>
    <t>SCM</t>
  </si>
  <si>
    <t>SCM Manager</t>
  </si>
  <si>
    <t>Re-use the laptop of ngoc.voleminh</t>
  </si>
  <si>
    <t>mong.nguyenthithuy@mapactive.vn</t>
  </si>
  <si>
    <t>Nguyễn Thị Thúy Mộng</t>
  </si>
  <si>
    <t>Nguyen Thi Thuy Mong</t>
  </si>
  <si>
    <t>Merchandise</t>
  </si>
  <si>
    <t>Senior Brand Marketing Manager</t>
  </si>
  <si>
    <t>qui.nguyenthi@mapactive.vn</t>
  </si>
  <si>
    <t>Nguyễn Thị Quí</t>
  </si>
  <si>
    <t>Nguyen Thi Qui</t>
  </si>
  <si>
    <t>Accounting</t>
  </si>
  <si>
    <t>General Accountant UFO</t>
  </si>
  <si>
    <t>Re-use Nguyễn Trí Độ' Laptop</t>
  </si>
  <si>
    <t>le.daothihong@mapactive.vn</t>
  </si>
  <si>
    <t>Đào Thị Hồng Lê</t>
  </si>
  <si>
    <t>Dao Thi Hong Le</t>
  </si>
  <si>
    <t xml:space="preserve">Training Assistant Manager </t>
  </si>
  <si>
    <t xml:space="preserve">Done </t>
  </si>
  <si>
    <t>done</t>
  </si>
  <si>
    <t>dien.tranduy@mapactive.vn</t>
  </si>
  <si>
    <t xml:space="preserve">Trần Duy Điền </t>
  </si>
  <si>
    <t>Tran Duy Dien</t>
  </si>
  <si>
    <t xml:space="preserve">COE Department </t>
  </si>
  <si>
    <t xml:space="preserve">Inventory Control </t>
  </si>
  <si>
    <t>thu.nguyenthanhanh@mapactive.vn</t>
  </si>
  <si>
    <t>Nguyễn Thanh Anh Thư</t>
  </si>
  <si>
    <t>Nguyen Thanh Anh Thu</t>
  </si>
  <si>
    <t xml:space="preserve">Marketing Department </t>
  </si>
  <si>
    <t>Visual Merchandise Manager</t>
  </si>
  <si>
    <t>Huy.daoduc@mapactive.vn</t>
  </si>
  <si>
    <t>Đào Đức Huy</t>
  </si>
  <si>
    <t xml:space="preserve">Dao Duc Huy </t>
  </si>
  <si>
    <t xml:space="preserve">Operations Department </t>
  </si>
  <si>
    <t>Area Manager (South)</t>
  </si>
  <si>
    <t>du.nguyenbao@mapactive.vn</t>
  </si>
  <si>
    <t>Nguyễn Bảo Du</t>
  </si>
  <si>
    <t>Nguyen Bao Du</t>
  </si>
  <si>
    <t>HR Department</t>
  </si>
  <si>
    <t>HR Internship</t>
  </si>
  <si>
    <t>Mini PC</t>
  </si>
  <si>
    <t>duyen.lethanh@mapactive.vn</t>
  </si>
  <si>
    <t>Lê Thanh Duyên</t>
  </si>
  <si>
    <t>Le Thanh Duyen</t>
  </si>
  <si>
    <t xml:space="preserve">Graphic Designer (Foot Locker) </t>
  </si>
  <si>
    <t>Re-use Vũ Xuân Sơn</t>
  </si>
  <si>
    <t>ngoc.nguyenduyen@mapactive.vn</t>
  </si>
  <si>
    <t xml:space="preserve">Nguyễn Duyên Ngọc </t>
  </si>
  <si>
    <t>Nguyen Duyen Ngoc</t>
  </si>
  <si>
    <t xml:space="preserve">Business Development Manager </t>
  </si>
  <si>
    <t xml:space="preserve">Thay anh Hiếu BD (hieu.trantrung)last day ngày 31/08 dùng lại laptop  </t>
  </si>
  <si>
    <t>van.nghiemthihong@mapactive.vn</t>
  </si>
  <si>
    <t>Nghiêm Thị Hồng Vân</t>
  </si>
  <si>
    <t>Nghiem Thi Hong Van</t>
  </si>
  <si>
    <t>Brand Department</t>
  </si>
  <si>
    <t>xuan.vothihoanganh@mapactive.vn</t>
  </si>
  <si>
    <t>Võ Thị Hoàng Ánh Xuân</t>
  </si>
  <si>
    <t>Vo Thi Hoang Anh Xuan</t>
  </si>
  <si>
    <t>Operations Executive</t>
  </si>
  <si>
    <t>Dùng lại máy ĐẶNG QUỐC TRÍ (OP)</t>
  </si>
  <si>
    <t>tram.lengocbich@mapactive.vn</t>
  </si>
  <si>
    <t>Lê Ngọc BÍch Trâm</t>
  </si>
  <si>
    <t>Le Ngoc Bich Tram</t>
  </si>
  <si>
    <t>Marketing Department (Foot Locker)</t>
  </si>
  <si>
    <t>Marketing Supervisor (Foot Locker)</t>
  </si>
  <si>
    <t>x280</t>
  </si>
  <si>
    <t>Replace Phạm Thị Mỹ Dung</t>
  </si>
  <si>
    <t>mai.nguyenthihuynh@mapactive.vn</t>
  </si>
  <si>
    <t>Nguyễn Thị Huỳnh Mai</t>
  </si>
  <si>
    <t>Nguyen Thi Huynh Mai</t>
  </si>
  <si>
    <t>Maya</t>
  </si>
  <si>
    <t>Finance, Tax &amp; Accounting Manager</t>
  </si>
  <si>
    <t>laptop cũ của Huỳnh Ngọc Sơn (team Project)</t>
  </si>
  <si>
    <t>tuan.duongquangminh@mapactive.vn</t>
  </si>
  <si>
    <t>Dương Quang Minh Tuấn</t>
  </si>
  <si>
    <t>Duong Quang Minh Tuan</t>
  </si>
  <si>
    <t>Retail Operations Department</t>
  </si>
  <si>
    <t>dat.volamminh@mapactive.vn</t>
  </si>
  <si>
    <t>Võ Lâm Minh Đạt</t>
  </si>
  <si>
    <t>Vo Lam Minh Dat</t>
  </si>
  <si>
    <t xml:space="preserve">Retail Operations Department </t>
  </si>
  <si>
    <t xml:space="preserve">Area Manager (South) </t>
  </si>
  <si>
    <t>HR requested</t>
  </si>
  <si>
    <t>no need</t>
  </si>
  <si>
    <t>(Re-use Dang's Laptop)</t>
  </si>
  <si>
    <t>minh.lengocbao@mapactive.vn</t>
  </si>
  <si>
    <t>Lê Ngọc Bảo Minh</t>
  </si>
  <si>
    <t>Le Ngoc Bao Minh</t>
  </si>
  <si>
    <t xml:space="preserve">Internal Audit &amp; Business Process Assistant Manager </t>
  </si>
  <si>
    <t xml:space="preserve">Risk Management &amp; Business Process </t>
  </si>
  <si>
    <t>anh.nguyensi@mapactive.vn</t>
  </si>
  <si>
    <t>Nguyễn Sĩ Anh</t>
  </si>
  <si>
    <t>Nguyen Si Anh</t>
  </si>
  <si>
    <t>Acting Area Manager (North Side)</t>
  </si>
  <si>
    <t>Re-use Phùng Như Quỳnh's Laptop</t>
  </si>
  <si>
    <t>chi.tranvukim@mapactive.vn</t>
  </si>
  <si>
    <t>Trần Vũ Kim Chi</t>
  </si>
  <si>
    <t>Christine</t>
  </si>
  <si>
    <t xml:space="preserve">Brand Division Manager (Foot Locker) </t>
  </si>
  <si>
    <t xml:space="preserve">Will re-used Vicky's laptop </t>
  </si>
  <si>
    <t>trang.taquynh@mapactive.vn</t>
  </si>
  <si>
    <t>Tạ Quỳnh Trang</t>
  </si>
  <si>
    <t>Ta Quynh Trang</t>
  </si>
  <si>
    <t>Re-use laptop Le Minh Khang</t>
  </si>
  <si>
    <t>uyen.vuxuan@mapactive.vn</t>
  </si>
  <si>
    <t>Vũ Xuân Uyên</t>
  </si>
  <si>
    <t>Vu Xuan Uyen</t>
  </si>
  <si>
    <t>Marketing officer</t>
  </si>
  <si>
    <t>F3</t>
  </si>
  <si>
    <t>minh.vanduc@mapactive.vn</t>
  </si>
  <si>
    <t>Văn Đức Minh</t>
  </si>
  <si>
    <t xml:space="preserve">Van Duc Minh </t>
  </si>
  <si>
    <t>Quavo</t>
  </si>
  <si>
    <t>nhung.nguyenthihong01@mapactive.vn</t>
  </si>
  <si>
    <t>Nguyễn Thị Hồng Nhung</t>
  </si>
  <si>
    <t>Nguyen Thi Hong Nhung</t>
  </si>
  <si>
    <t>Area Manager (North)</t>
  </si>
  <si>
    <t>chau.lehongbao@mapactive.vn</t>
  </si>
  <si>
    <t>Lê Hồng Bảo Châu</t>
  </si>
  <si>
    <t>Le Hong Bao Chau</t>
  </si>
  <si>
    <t xml:space="preserve">Marketing </t>
  </si>
  <si>
    <t>Marketing Admin</t>
  </si>
  <si>
    <t>Ngoc.nguyenbao@mapactive.vn</t>
  </si>
  <si>
    <t>Nguyễn Bảo Ngọc</t>
  </si>
  <si>
    <t>Nguyen Bao Ngoc</t>
  </si>
  <si>
    <t>Kelly</t>
  </si>
  <si>
    <t>Division Operation Manager</t>
  </si>
  <si>
    <t xml:space="preserve">thu.nguyenthiminh@mapactive.vn  </t>
  </si>
  <si>
    <t>Nguyễn Thị Minh Thư</t>
  </si>
  <si>
    <t>Planning</t>
  </si>
  <si>
    <t>binh.nguyenmy@mapactive.vn</t>
  </si>
  <si>
    <t>Nguyễn Mỹ Bình</t>
  </si>
  <si>
    <t>Nguyen My Binh</t>
  </si>
  <si>
    <t>E-COMMERCE</t>
  </si>
  <si>
    <t xml:space="preserve">Re-use laptop </t>
  </si>
  <si>
    <t>ngan.vongocthanh@mapactive.vn</t>
  </si>
  <si>
    <t>Vo Ngoc Thanh Ngan</t>
  </si>
  <si>
    <t>Intern</t>
  </si>
  <si>
    <t>tran.huynhkimngoc@mapactive.vn</t>
  </si>
  <si>
    <t>Huynh Kim Ngoc Tran</t>
  </si>
  <si>
    <t>nhung.nguyenthituyet@mapactive.vn</t>
  </si>
  <si>
    <t xml:space="preserve">Nguyễn Thị Tyết Nhung </t>
  </si>
  <si>
    <t xml:space="preserve">Nguyen Thi Tuyet Nhung </t>
  </si>
  <si>
    <t>giang.trana@mapactive.vn</t>
  </si>
  <si>
    <t>Trần A Giang</t>
  </si>
  <si>
    <t>Tran A giang</t>
  </si>
  <si>
    <t xml:space="preserve">Intern </t>
  </si>
  <si>
    <t>hai.nguyenthanh@mapactive.vn</t>
  </si>
  <si>
    <t>Nguyễn Thanh Hải</t>
  </si>
  <si>
    <t>Nguyen Thanh Hai</t>
  </si>
  <si>
    <t>Doan.An@mapactive.vn</t>
  </si>
  <si>
    <t>Đoàn Thiên Hồ An</t>
  </si>
  <si>
    <t>Doan Thien Ho An</t>
  </si>
  <si>
    <t>Digital Marketing Manager</t>
  </si>
  <si>
    <t>thu.pham@mapactive.vn</t>
  </si>
  <si>
    <t>Phạm Nguyễn Minh Thư</t>
  </si>
  <si>
    <t>Pham Nguyen Minh Thu</t>
  </si>
  <si>
    <t>DSV</t>
  </si>
  <si>
    <t>Logs Coordinator DSV VN</t>
  </si>
  <si>
    <t>Warehouse</t>
  </si>
  <si>
    <t>quan.vu@mapactive.vn</t>
  </si>
  <si>
    <t>Vũ Thái Quân</t>
  </si>
  <si>
    <t>Vu Thai Quan</t>
  </si>
  <si>
    <t>OPS Manager DSV VN</t>
  </si>
  <si>
    <t>ngoc.ngo@mapactive.vn</t>
  </si>
  <si>
    <t>Ngô Lê Bảo Ngọc</t>
  </si>
  <si>
    <t>Ngo Leo Bao Ngoc</t>
  </si>
  <si>
    <t>nguyen.thieu@mapactive.vn</t>
  </si>
  <si>
    <t>Nguyễn Gia Thiều</t>
  </si>
  <si>
    <t>Thieu Gia Nguyen</t>
  </si>
  <si>
    <t>mma.it@mapactive.vn</t>
  </si>
  <si>
    <t>MMA IT Vietnam</t>
  </si>
  <si>
    <t>E1</t>
  </si>
  <si>
    <t>Shared</t>
  </si>
  <si>
    <t>IT shared email account for licensing (Owner: IT)</t>
  </si>
  <si>
    <t>footlocker.vietnam@mapactive.vn</t>
  </si>
  <si>
    <t>Foot Locker Vietnam</t>
  </si>
  <si>
    <t>Foot Locker email for register with Ecom platforms (Owner: Brand - FL)</t>
  </si>
  <si>
    <t>HR.Recruitment@mapactive.vn</t>
  </si>
  <si>
    <t>HR Recruitment</t>
  </si>
  <si>
    <t>HR shared email account for recruitment, receive CV from candidates (Owner: HR)</t>
  </si>
  <si>
    <t>dung.nguyenthiphuong@mapactive.vn</t>
  </si>
  <si>
    <t>Nguyễn Thị Phương Dung</t>
  </si>
  <si>
    <t>Nguyen Thị Phuong Dung</t>
  </si>
  <si>
    <t xml:space="preserve">Marketing Supervisor </t>
  </si>
  <si>
    <t>mma.hotline@mapactive.vn</t>
  </si>
  <si>
    <t>MMA HOTLINE</t>
  </si>
  <si>
    <t>mac.hotline@mapactive.kh</t>
  </si>
  <si>
    <t xml:space="preserve">MAC HOTLINE </t>
  </si>
  <si>
    <t>KH</t>
  </si>
  <si>
    <t>TO HO</t>
  </si>
  <si>
    <t>Assistant Accountant Manager</t>
  </si>
  <si>
    <t>Disable Email</t>
  </si>
  <si>
    <t>Onboarding Date
(dd/mm/yy)</t>
  </si>
  <si>
    <t>Request ITSD, IT Server Operation on 23 Feb 2023 (Ticket : WO0000000107284)</t>
  </si>
  <si>
    <t>alun.hughes@mapactive.vn</t>
  </si>
  <si>
    <t>Alun Hughes</t>
  </si>
  <si>
    <t>Exchange Online Kiosk</t>
  </si>
  <si>
    <t xml:space="preserve">Need to check with anh Nhân Log </t>
  </si>
  <si>
    <t>loan.lethikim@mapactive.vn</t>
  </si>
  <si>
    <t>Shipping Executive</t>
  </si>
  <si>
    <t>15/02/2023</t>
  </si>
  <si>
    <t>đã nghỉ việc</t>
  </si>
  <si>
    <t>ngoc.voleminh@mapactive.vn</t>
  </si>
  <si>
    <t>Logistics Manager</t>
  </si>
  <si>
    <t>trung.lehominh@mapactive.vn</t>
  </si>
  <si>
    <t>Lê Hồ Minh Trung</t>
  </si>
  <si>
    <t>Le Ho Minh Trung</t>
  </si>
  <si>
    <t>Digital</t>
  </si>
  <si>
    <t>Digital Commercial Senior Manager</t>
  </si>
  <si>
    <t>03/04/2023</t>
  </si>
  <si>
    <t>tram.nguyhuynhmai@mapactive.vn</t>
  </si>
  <si>
    <t>Ngụy Huỳnh Mai Trâm</t>
  </si>
  <si>
    <t>Nguy Huynh Mai Tram</t>
  </si>
  <si>
    <t>Logistic</t>
  </si>
  <si>
    <t xml:space="preserve">Logistic Admin </t>
  </si>
  <si>
    <t>14/04/2023</t>
  </si>
  <si>
    <t>nhung.nguyenhong@mapactive.vn</t>
  </si>
  <si>
    <t>Nguyễn Hồng Nhung</t>
  </si>
  <si>
    <t>Nguyen Hong Nhung</t>
  </si>
  <si>
    <t>Training Assistant Manager</t>
  </si>
  <si>
    <t>ha.dangthivan@mapactive.vn</t>
  </si>
  <si>
    <t>Đặng Thị Vân Hà</t>
  </si>
  <si>
    <t>Dang Thi Van Ha</t>
  </si>
  <si>
    <t>hau.lenguyentrung@mapactive.vn</t>
  </si>
  <si>
    <t>Lê Nguyễn Trung Hậu</t>
  </si>
  <si>
    <t>Le Nguyen Trung Hau</t>
  </si>
  <si>
    <t>17/04/2023</t>
  </si>
  <si>
    <t>5430 (swap for Henry)</t>
  </si>
  <si>
    <t>do.nguyentri@mapactive.vn</t>
  </si>
  <si>
    <t xml:space="preserve">Nguyễn Trí Độ </t>
  </si>
  <si>
    <t>Nguyen Tri Do</t>
  </si>
  <si>
    <t xml:space="preserve">General Accounting </t>
  </si>
  <si>
    <t>nghia.letrong@mapactive.vn</t>
  </si>
  <si>
    <t>Lê Trọng Nghĩa</t>
  </si>
  <si>
    <t>Le Trong Nghia</t>
  </si>
  <si>
    <t>24/04/2023</t>
  </si>
  <si>
    <t>Re use Laptop Chị Nhung</t>
  </si>
  <si>
    <t>duong.nguyenthihai@mapactive.vn</t>
  </si>
  <si>
    <t>Internal Audit &amp; Business Process Assistant Manager</t>
  </si>
  <si>
    <t>01/03/2023</t>
  </si>
  <si>
    <t>thuy.dangtranthu@mapactive.vn</t>
  </si>
  <si>
    <t>Marketing Executive</t>
  </si>
  <si>
    <t>14/07/2023</t>
  </si>
  <si>
    <t>Disable email after 09/2023</t>
  </si>
  <si>
    <t xml:space="preserve">son.vuxuan@mapactive.vn </t>
  </si>
  <si>
    <t>Vũ Xuân Sơn</t>
  </si>
  <si>
    <t>Vu Xuan Son</t>
  </si>
  <si>
    <t>vn</t>
  </si>
  <si>
    <t>15/06/2023</t>
  </si>
  <si>
    <t>Need to keep until end of Oct-2023</t>
  </si>
  <si>
    <t>giang.nguyenthiquynh@map.co.id</t>
  </si>
  <si>
    <t>hieu.trantrung@mapactive.vn</t>
  </si>
  <si>
    <t>Business Development Manager</t>
  </si>
  <si>
    <t>Need to keep until Ms Uyên Confirm</t>
  </si>
  <si>
    <t>tri.dangquoc@mapactive.vn</t>
  </si>
  <si>
    <t>Retail Operations Manager</t>
  </si>
  <si>
    <t>Can revoke license</t>
  </si>
  <si>
    <t>hoang.phanbao@mapactive.vn</t>
  </si>
  <si>
    <t>Phan Bảo Hoàng</t>
  </si>
  <si>
    <t>Phan Bao Hoang</t>
  </si>
  <si>
    <t>quynh.tranthilam@mapactive.vn  </t>
  </si>
  <si>
    <t>Tran Thi Lâm Quỳnh</t>
  </si>
  <si>
    <t>Tran Thi lam Quynh</t>
  </si>
  <si>
    <t>huong.tranquocthien@mapactive.vn</t>
  </si>
  <si>
    <t>Tran Quoc Thien Huong</t>
  </si>
  <si>
    <t>Senior Merchandise Planning Manager</t>
  </si>
  <si>
    <t>Need to keep until Kelvin confirm (Oct-2023)</t>
  </si>
  <si>
    <t>tien.phanthithuy@mapactive.vn</t>
  </si>
  <si>
    <t>Phan Thị Thủy Tiên</t>
  </si>
  <si>
    <t>Phan Thi Thuy Tiên</t>
  </si>
  <si>
    <t>8/5/2023</t>
  </si>
  <si>
    <t>re-use Le Nguyen Trung Hau's Laptop</t>
  </si>
  <si>
    <t>vothea.iem@map.co.id</t>
  </si>
  <si>
    <t>Iem Vothea</t>
  </si>
  <si>
    <t>khoa.trandanganh@mapactive.vn</t>
  </si>
  <si>
    <t>Tran Dang Anh Khoa</t>
  </si>
  <si>
    <t>dung.phamthimy@mapactive.vn</t>
  </si>
  <si>
    <t xml:space="preserve">Phạm Thị Mỹ Dung </t>
  </si>
  <si>
    <t>Pham Thi My Dung</t>
  </si>
  <si>
    <t>``</t>
  </si>
  <si>
    <t>23/06/2023</t>
  </si>
  <si>
    <t>ngan.huynhthibich@mpactive.vn</t>
  </si>
  <si>
    <t>Huỳnh Thị Bích Ngân</t>
  </si>
  <si>
    <t xml:space="preserve">Huynh Thi Bich Ngan </t>
  </si>
  <si>
    <t>đã nghỉ việc 13/10/2023</t>
  </si>
  <si>
    <t>Waiting when HR Complete proccess resign</t>
  </si>
  <si>
    <t>hieu.nguyenvutrung@mapactive.vn</t>
  </si>
  <si>
    <t>Nguyễn Vũ Trung Hiếu</t>
  </si>
  <si>
    <t>Nguyen Vu Trung Hieu</t>
  </si>
  <si>
    <t>dang.hohai@mapactive.vn</t>
  </si>
  <si>
    <t>Hồ Hải Đăng</t>
  </si>
  <si>
    <t>Ho Hai Dang</t>
  </si>
  <si>
    <t>quynh.phungnhu@mapactive.vn</t>
  </si>
  <si>
    <t>Phùng Như Quỳnh</t>
  </si>
  <si>
    <t>Phung Nhu Quynh</t>
  </si>
  <si>
    <t>Need to keep until we have replacement</t>
  </si>
  <si>
    <t>Trương Hồng Hương</t>
  </si>
  <si>
    <t>Truong Hong Huong</t>
  </si>
  <si>
    <t>Jolie</t>
  </si>
  <si>
    <t>Brand Manager (Birkenstock)</t>
  </si>
  <si>
    <t>quynh.nguyennhu@mapactive.vn</t>
  </si>
  <si>
    <t>Nguyễn Như Quỳnh</t>
  </si>
  <si>
    <t>Nguyen Nhu Quynh</t>
  </si>
  <si>
    <t>Brand Manager (Bata)</t>
  </si>
  <si>
    <t>BM for Bata, New Era</t>
  </si>
  <si>
    <t>Tram.phamthibao@mapactive.vn</t>
  </si>
  <si>
    <t>Phạm Thị Bảo Trâm</t>
  </si>
  <si>
    <t>Pham Thi Bao Tram</t>
  </si>
  <si>
    <t>dat.tranquoc@mapactive.vn</t>
  </si>
  <si>
    <t>Trần Quốc Đạt</t>
  </si>
  <si>
    <t>Tran Quoc Dat</t>
  </si>
  <si>
    <t>IT Officer</t>
  </si>
  <si>
    <t>phong.phanhoai@mapactive.vn</t>
  </si>
  <si>
    <t xml:space="preserve">Phan Hoài Phong </t>
  </si>
  <si>
    <t>Phan Hoai Phong</t>
  </si>
  <si>
    <t xml:space="preserve">Visual Merchandise Executive </t>
  </si>
  <si>
    <t>my.tranthitoan@mapactive.vn</t>
  </si>
  <si>
    <t>Trần Thị Toàn Mỹ</t>
  </si>
  <si>
    <t>Tran Thi Toan My</t>
  </si>
  <si>
    <t>Senior Planning Merchandise</t>
  </si>
  <si>
    <t>tra.truongvantin@mapactive.vn</t>
  </si>
  <si>
    <t>Trương Văn tín Trà</t>
  </si>
  <si>
    <t>Truong Van Tin Tra</t>
  </si>
  <si>
    <t>tien.trantrung@mapactive.vn</t>
  </si>
  <si>
    <t>Trần Trung Tiến</t>
  </si>
  <si>
    <t>Tran Trung Tien</t>
  </si>
  <si>
    <t>Replace Diệp team Ms. Jolie will resign on 10/04. Provide temporary MiniPC to use</t>
  </si>
  <si>
    <t>hoa.mailecam@mapactive.vn</t>
  </si>
  <si>
    <t>Mai Lê Cẩm Hòa</t>
  </si>
  <si>
    <t>Mai Le Cam Hoa</t>
  </si>
  <si>
    <t>Mia</t>
  </si>
  <si>
    <t>Retail Admin Executive</t>
  </si>
  <si>
    <t>minh.letranthien@mapactive.vn</t>
  </si>
  <si>
    <t>Lê Trần Thiên Minh</t>
  </si>
  <si>
    <t>Le Tran Thien Minh</t>
  </si>
  <si>
    <t>Operations Department</t>
  </si>
  <si>
    <t>Retail Operations Division Manager</t>
  </si>
  <si>
    <t>linh.thainhat@mapactive.vn</t>
  </si>
  <si>
    <t xml:space="preserve">Thái Nhật Linh </t>
  </si>
  <si>
    <t>Thai Nhat Linh</t>
  </si>
  <si>
    <t>loan.nguyenhoang@mapactive.vn</t>
  </si>
  <si>
    <t>Nguyễn Hoàng Loan</t>
  </si>
  <si>
    <t>Nguyen Hoang Loan</t>
  </si>
  <si>
    <t>it.vn@mapactive.vn</t>
  </si>
  <si>
    <t>Nguyễn Phạm Duy Anh</t>
  </si>
  <si>
    <t>Nguyen Pham Duy Anh</t>
  </si>
  <si>
    <t>hien.nguyendo@mapactive.vn</t>
  </si>
  <si>
    <t>Nguyễn Đỗ Hiền</t>
  </si>
  <si>
    <t>Nguyen Do Hien</t>
  </si>
  <si>
    <t xml:space="preserve">Brand </t>
  </si>
  <si>
    <t>Merchandise Manager (Foot Locker)</t>
  </si>
  <si>
    <t>Already disable email account and revoke lic</t>
  </si>
  <si>
    <t>huan.lenam@mapactive.vn</t>
  </si>
  <si>
    <t>Lê Nam Huân</t>
  </si>
  <si>
    <t>Le Nam Huan</t>
  </si>
  <si>
    <t xml:space="preserve">Training Department </t>
  </si>
  <si>
    <t>Training Executive</t>
  </si>
  <si>
    <t>Nguyễn Thị Tuyết Nhung</t>
  </si>
  <si>
    <t>Nguyen Thi Tuyet Nhung</t>
  </si>
  <si>
    <t xml:space="preserve">Planning Department </t>
  </si>
  <si>
    <t xml:space="preserve">Senior Merchandise Planning </t>
  </si>
  <si>
    <t>Tuyet.tranthikim@mapactive.vn</t>
  </si>
  <si>
    <t>Trần Thị Kim Tuyết</t>
  </si>
  <si>
    <t>Tran Thi kim Tuyet</t>
  </si>
  <si>
    <t>Retail Operations Division Manager (Foot Locker)</t>
  </si>
  <si>
    <t xml:space="preserve">Hoàng Thân Bảo Phúc </t>
  </si>
  <si>
    <t>Hoang Than Bao Phuc</t>
  </si>
  <si>
    <t>uyen.vuthuy@mapactive.vn</t>
  </si>
  <si>
    <t>Vũ Thùy Uyên</t>
  </si>
  <si>
    <t>Vu Thuy Uyen</t>
  </si>
  <si>
    <t>trang.huynhthimy@mapactive.vn</t>
  </si>
  <si>
    <t>Huỳnh Thị Mỹ Trang</t>
  </si>
  <si>
    <t>Huynh Thi My Trang</t>
  </si>
  <si>
    <t>Retail Admin</t>
  </si>
  <si>
    <t>an.nguyenhuu@mapactive.vn</t>
  </si>
  <si>
    <t>Nguyễn Hữu An</t>
  </si>
  <si>
    <t>Nguyen Huu An</t>
  </si>
  <si>
    <t>IT Application &amp; Analytic Associate Manager</t>
  </si>
  <si>
    <t>hieu.phamtrung@mapactive.vn</t>
  </si>
  <si>
    <t>Phạm Trung Hiếu</t>
  </si>
  <si>
    <t>Pham Trung Hieu</t>
  </si>
  <si>
    <t>IT Infrastructure &amp; Operations Manager</t>
  </si>
  <si>
    <t>dung.huynhkim@mapactive.vn</t>
  </si>
  <si>
    <t>Huỳnh Kim Dung</t>
  </si>
  <si>
    <t>Huynh Kim Dung</t>
  </si>
  <si>
    <t>Zoe</t>
  </si>
  <si>
    <t>luong.lactuan@mapactive.vn</t>
  </si>
  <si>
    <t>Lạc Tuấn Lương</t>
  </si>
  <si>
    <t>Lac Tuan Luong</t>
  </si>
  <si>
    <t xml:space="preserve">Training Assistant </t>
  </si>
  <si>
    <t>tram.nguyenthibich@mapactive.vn</t>
  </si>
  <si>
    <t>Nguyễn Thị Bích Trâm</t>
  </si>
  <si>
    <t>Nguyen Thi Bich Tram</t>
  </si>
  <si>
    <t>Re-use the laptop of Lê Thị Kim Loan – Shipping Executive – On board 15/02/2023 but resigned about 2 days later</t>
  </si>
  <si>
    <t>vy.huynhnguyenlan@mapactive.vn</t>
  </si>
  <si>
    <t>Huỳnh Nguyễn Lan Vy</t>
  </si>
  <si>
    <t>Huynh Nguyen Lan Vy</t>
  </si>
  <si>
    <t>Finance</t>
  </si>
  <si>
    <t>Accountant</t>
  </si>
  <si>
    <t>van.phungboi@mapactive.vn</t>
  </si>
  <si>
    <t>Phùng Bội Vân</t>
  </si>
  <si>
    <t>Phung Boi Van</t>
  </si>
  <si>
    <t>Sales Online</t>
  </si>
  <si>
    <t>thy.nguyenhoanganh@mapactive.vn</t>
  </si>
  <si>
    <t>Nguyễn Hoàng Anh Thy</t>
  </si>
  <si>
    <t>Nguyen Hoang Anh Thy</t>
  </si>
  <si>
    <t>binh.nguyenthihongminh</t>
  </si>
  <si>
    <t>Nguyen Thi Hong Minh Binh</t>
  </si>
  <si>
    <t>MKT</t>
  </si>
  <si>
    <t>darryl.peacock@mapactive.vn</t>
  </si>
  <si>
    <t>Peacock Darryl James</t>
  </si>
  <si>
    <t xml:space="preserve">Darryl </t>
  </si>
  <si>
    <t>BOD</t>
  </si>
  <si>
    <t>Country Manager</t>
  </si>
  <si>
    <t>Vice President</t>
  </si>
  <si>
    <t>my.nguyenthao@mapactive.vn</t>
  </si>
  <si>
    <t>Nguyễn Thảo My</t>
  </si>
  <si>
    <t>Nguyen Thao My</t>
  </si>
  <si>
    <t>re-use laptop Phan Thi Thuy Tien (AMMAVNITC000030)</t>
  </si>
  <si>
    <t>duy.lehuynh@mapactive.vn</t>
  </si>
  <si>
    <t>Lê Huỳnh Duy</t>
  </si>
  <si>
    <t xml:space="preserve"> Merchandise Department </t>
  </si>
  <si>
    <t>Senior Merchandiser (Foot Locker)</t>
  </si>
  <si>
    <t>tam.minh@mapactive.vn</t>
  </si>
  <si>
    <t>Võ Minh Tâm</t>
  </si>
  <si>
    <t>Vo Minh Tam</t>
  </si>
  <si>
    <t>Graphic Design Freelance</t>
  </si>
  <si>
    <t>trang.khongthithuy@mapactive.vn</t>
  </si>
  <si>
    <t>Khổng Thị Thùy Trang</t>
  </si>
  <si>
    <t>Khong Thi Thuy Trang</t>
  </si>
  <si>
    <t>Brand  Department</t>
  </si>
  <si>
    <t>nam.vonguyenhoang@mapactive.vn</t>
  </si>
  <si>
    <t>Võ Nguyễn Hoàng Nam</t>
  </si>
  <si>
    <t>Vo Nguyen Hoang Nam</t>
  </si>
  <si>
    <t>Wholesale Associate Manager</t>
  </si>
  <si>
    <t>khen.hoanghong@mapactive.vn</t>
  </si>
  <si>
    <t>Hoàng Hồng Khen</t>
  </si>
  <si>
    <t>Hoang Hong Khen</t>
  </si>
  <si>
    <t>Kevin</t>
  </si>
  <si>
    <t>Marketing Communications Manager</t>
  </si>
  <si>
    <t>Hong.lethikim@mapactive.vn</t>
  </si>
  <si>
    <t>Lê Thị Kim Hồng</t>
  </si>
  <si>
    <t>Le Thi Kim Hong</t>
  </si>
  <si>
    <t>Legal Department</t>
  </si>
  <si>
    <t>Legal Officer</t>
  </si>
  <si>
    <t>Dùng lại máy Trần Thị Lâm Quỳnh (MD)</t>
  </si>
  <si>
    <t>coe.vn@mapactive.vn</t>
  </si>
  <si>
    <t>Trần Hồ Duy Tân</t>
  </si>
  <si>
    <t>Tran Ho Duy Tan</t>
  </si>
  <si>
    <t>COE</t>
  </si>
  <si>
    <t>COE Collaborator</t>
  </si>
  <si>
    <t>minh.vuba@mapactive.vn</t>
  </si>
  <si>
    <t>Vũ Bá Minh</t>
  </si>
  <si>
    <t>Vu Ba Minh</t>
  </si>
  <si>
    <t xml:space="preserve">Digital Department </t>
  </si>
  <si>
    <t xml:space="preserve">Digital Commercial Manager </t>
  </si>
  <si>
    <t>dai.lamhoangphuoc@mapactive.vn</t>
  </si>
  <si>
    <t>Lâm Hoàng Phước Đại</t>
  </si>
  <si>
    <t>Lam Hoang Phuoc Dai</t>
  </si>
  <si>
    <t>hien.lethithu@mapactive.vn</t>
  </si>
  <si>
    <t>Lê Thị Thu Hiền</t>
  </si>
  <si>
    <t>Le Thi Thu Hien</t>
  </si>
  <si>
    <t>linh.hoangdieu@mapactive.vn</t>
  </si>
  <si>
    <t>Hoàng Diệu Linh</t>
  </si>
  <si>
    <t>Hoang Dieu Linh</t>
  </si>
  <si>
    <t>Need to check</t>
  </si>
  <si>
    <t>my.nguyenthituyet@mapactive.vn</t>
  </si>
  <si>
    <t>Nguyễn Thị Tuyết My</t>
  </si>
  <si>
    <t>Nguyen Thi Tuyet My</t>
  </si>
  <si>
    <t>bao.nguyenthanh@mapactive.vn</t>
  </si>
  <si>
    <t>Nguyễn Thanh Bảo</t>
  </si>
  <si>
    <t>Nguyen Thanh Bao</t>
  </si>
  <si>
    <t xml:space="preserve">Warehouse &amp; Distribution Officer </t>
  </si>
  <si>
    <t>Replace Ngụy Huỳnh Mai Trâm will resign on 14/04/2023. Provide temporary MiniPC to use</t>
  </si>
  <si>
    <t>thai.huynhquang@map.co.id</t>
  </si>
  <si>
    <t>Huynh Quang Thai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</si>
</sst>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7" formatCode="B1d\-mmm\-yy"/>
  </numFmts>
  <fonts count="39">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9"/>
      <color rgb="FF000000"/>
      <name val="Tahoma"/>
      <family val="2"/>
    </font>
    <font>
      <sz val="11"/>
      <color rgb="FF444444"/>
      <name val="Calibri"/>
      <family val="2"/>
      <charset val="1"/>
    </font>
    <font>
      <sz val="11"/>
      <color rgb="FF000000"/>
      <name val="Calibri"/>
      <family val="2"/>
    </font>
    <font>
      <sz val="11"/>
      <color theme="1"/>
      <name val="Calibri"/>
      <family val="2"/>
      <charset val="1"/>
    </font>
    <font>
      <sz val="11"/>
      <color rgb="FF000000"/>
      <name val="Calibri"/>
      <family val="2"/>
      <charset val="1"/>
    </font>
    <font>
      <u/>
      <sz val="11"/>
      <color theme="10"/>
      <name val="Calibri"/>
      <family val="2"/>
      <scheme val="minor"/>
    </font>
    <font>
      <sz val="12"/>
      <color rgb="FF000000"/>
      <name val="Calibri"/>
      <family val="2"/>
      <scheme val="minor"/>
    </font>
    <font>
      <sz val="12"/>
      <color theme="1"/>
      <name val="Calibri"/>
      <family val="2"/>
      <scheme val="minor"/>
    </font>
    <font>
      <sz val="12"/>
      <color indexed="8"/>
      <name val="Calibri"/>
      <family val="2"/>
    </font>
    <font>
      <sz val="12"/>
      <color theme="1"/>
      <name val="Calibri"/>
      <family val="2"/>
      <scheme val="minor"/>
    </font>
    <font>
      <u/>
      <sz val="11"/>
      <color rgb="FF0000FF"/>
      <name val="Calibri"/>
      <family val="2"/>
      <scheme val="minor"/>
    </font>
    <font>
      <u/>
      <sz val="12"/>
      <color indexed="12"/>
      <name val="Calibri"/>
      <family val="2"/>
    </font>
    <font>
      <sz val="12"/>
      <color theme="1"/>
      <name val="Calibri"/>
      <family val="2"/>
      <charset val="134"/>
      <scheme val="minor"/>
    </font>
    <font>
      <u/>
      <sz val="12"/>
      <color rgb="FF0000FF"/>
      <name val="Calibri"/>
      <family val="2"/>
      <scheme val="minor"/>
    </font>
    <font>
      <sz val="12"/>
      <color rgb="FF000000"/>
      <name val="Calibri"/>
      <family val="2"/>
      <charset val="134"/>
      <scheme val="minor"/>
    </font>
    <font>
      <u/>
      <sz val="12"/>
      <color rgb="FF0000FF"/>
      <name val="Calibri"/>
      <family val="2"/>
      <charset val="134"/>
      <scheme val="minor"/>
    </font>
    <font>
      <u/>
      <sz val="12"/>
      <color theme="10"/>
      <name val="Calibri"/>
      <family val="2"/>
      <scheme val="minor"/>
    </font>
    <font>
      <sz val="11"/>
      <color theme="1"/>
      <name val="Calibri"/>
      <family val="2"/>
      <scheme val="minor"/>
    </font>
    <font>
      <sz val="12"/>
      <color rgb="FF000000"/>
      <name val="Calibri"/>
      <family val="2"/>
    </font>
    <font>
      <sz val="11"/>
      <color theme="1"/>
      <name val="Arial"/>
      <family val="2"/>
    </font>
    <font>
      <sz val="11"/>
      <color rgb="FF000000"/>
      <name val="Arial"/>
      <family val="2"/>
    </font>
    <font>
      <sz val="11"/>
      <color rgb="FF242424"/>
      <name val="Aptos Narrow"/>
      <family val="2"/>
    </font>
    <font>
      <sz val="11"/>
      <color rgb="FF242424"/>
      <name val="Aptos Narrow"/>
      <charset val="1"/>
    </font>
    <font>
      <sz val="12"/>
      <color indexed="8"/>
      <name val="Times New Roman"/>
    </font>
    <font>
      <sz val="12"/>
      <color theme="1"/>
      <name val="Times New Roman"/>
    </font>
    <font>
      <sz val="11"/>
      <color theme="1"/>
      <name val="Times New Roman"/>
    </font>
    <font>
      <u/>
      <sz val="11"/>
      <color theme="10"/>
      <name val="Times New Roman"/>
    </font>
    <font>
      <sz val="12"/>
      <color rgb="FF000000"/>
      <name val="Times New Roman"/>
    </font>
    <font>
      <sz val="11"/>
      <color rgb="FF444444"/>
      <name val="Times New Roman"/>
    </font>
    <font>
      <sz val="11"/>
      <color rgb="FF242424"/>
      <name val="Times New Roman"/>
    </font>
    <font>
      <sz val="11"/>
      <color rgb="FF000000"/>
      <name val="Times New Roman"/>
    </font>
    <font>
      <sz val="11"/>
      <color rgb="FF000000"/>
      <name val="Aptos"/>
      <family val="2"/>
      <charset val="1"/>
    </font>
    <font>
      <sz val="11"/>
      <name val="Times New Roman"/>
    </font>
    <font>
      <sz val="9"/>
      <color rgb="FF000000"/>
      <name val="Times New Roman"/>
    </font>
    <font>
      <vertAlign val="superscript"/>
      <sz val="11"/>
      <color theme="1"/>
      <name val="Times New Roman"/>
    </font>
  </fonts>
  <fills count="1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F0"/>
        <bgColor rgb="FF000000"/>
      </patternFill>
    </fill>
    <fill>
      <patternFill patternType="solid">
        <fgColor theme="0" tint="-0.249977111117893"/>
        <bgColor indexed="64"/>
      </patternFill>
    </fill>
    <fill>
      <patternFill patternType="solid">
        <fgColor rgb="FF00B0F0"/>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s>
  <cellStyleXfs count="5">
    <xf numFmtId="0" fontId="0" fillId="0" borderId="0"/>
    <xf numFmtId="0" fontId="9" fillId="0" borderId="0" applyNumberFormat="0" applyFill="0" applyBorder="0" applyAlignment="0" applyProtection="0"/>
    <xf numFmtId="0" fontId="11" fillId="0" borderId="0"/>
    <xf numFmtId="0" fontId="14" fillId="0" borderId="0" applyNumberFormat="0" applyFill="0" applyBorder="0" applyAlignment="0" applyProtection="0">
      <alignment vertical="center"/>
    </xf>
    <xf numFmtId="0" fontId="21" fillId="0" borderId="0"/>
  </cellStyleXfs>
  <cellXfs count="314">
    <xf numFmtId="0" fontId="0" fillId="0" borderId="0" xfId="0"/>
    <xf numFmtId="0" fontId="0" fillId="0" borderId="2" xfId="0" applyBorder="1" applyAlignment="1">
      <alignment horizontal="center" vertical="center"/>
    </xf>
    <xf numFmtId="0" fontId="0" fillId="0" borderId="2" xfId="0" applyBorder="1"/>
    <xf numFmtId="0" fontId="0" fillId="0" borderId="2" xfId="0" applyBorder="1" applyAlignment="1">
      <alignment horizontal="left" wrapText="1"/>
    </xf>
    <xf numFmtId="0" fontId="0" fillId="0" borderId="2" xfId="0" applyBorder="1" applyAlignment="1">
      <alignment horizontal="left"/>
    </xf>
    <xf numFmtId="0" fontId="0" fillId="0" borderId="0" xfId="0" applyAlignment="1">
      <alignment horizontal="left"/>
    </xf>
    <xf numFmtId="0" fontId="0" fillId="0" borderId="2" xfId="0" applyBorder="1" applyAlignment="1">
      <alignment horizontal="center" vertical="center" wrapText="1"/>
    </xf>
    <xf numFmtId="0" fontId="5" fillId="0" borderId="2" xfId="0" applyFont="1" applyBorder="1"/>
    <xf numFmtId="0" fontId="0" fillId="0" borderId="7" xfId="0"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4" borderId="2" xfId="0" applyFill="1" applyBorder="1" applyAlignment="1">
      <alignment horizontal="center" vertical="center" wrapText="1"/>
    </xf>
    <xf numFmtId="0" fontId="4" fillId="2" borderId="2" xfId="0" applyFont="1" applyFill="1" applyBorder="1" applyAlignment="1">
      <alignment horizontal="left" vertical="center" wrapText="1"/>
    </xf>
    <xf numFmtId="0" fontId="0" fillId="2" borderId="2" xfId="0" applyFill="1" applyBorder="1" applyAlignment="1">
      <alignment horizontal="center" vertical="center" wrapText="1"/>
    </xf>
    <xf numFmtId="0" fontId="0" fillId="4" borderId="2" xfId="0" applyFill="1" applyBorder="1" applyAlignment="1">
      <alignment vertical="center" wrapText="1"/>
    </xf>
    <xf numFmtId="0" fontId="0" fillId="4" borderId="0" xfId="0" applyFill="1" applyAlignment="1">
      <alignment vertical="center" wrapText="1"/>
    </xf>
    <xf numFmtId="0" fontId="0" fillId="2" borderId="0" xfId="0" applyFill="1" applyAlignment="1">
      <alignment vertical="center" wrapText="1"/>
    </xf>
    <xf numFmtId="49" fontId="0" fillId="4" borderId="2" xfId="0" applyNumberFormat="1" applyFill="1" applyBorder="1" applyAlignment="1">
      <alignment vertical="center" wrapText="1"/>
    </xf>
    <xf numFmtId="49" fontId="0" fillId="0" borderId="2" xfId="0" applyNumberFormat="1" applyBorder="1" applyAlignment="1">
      <alignment vertical="center" wrapText="1"/>
    </xf>
    <xf numFmtId="49" fontId="0" fillId="2" borderId="2" xfId="0" applyNumberFormat="1" applyFill="1" applyBorder="1" applyAlignment="1">
      <alignment vertical="center" wrapText="1"/>
    </xf>
    <xf numFmtId="49" fontId="0" fillId="0" borderId="0" xfId="0" applyNumberFormat="1" applyAlignment="1">
      <alignment vertical="center" wrapText="1"/>
    </xf>
    <xf numFmtId="0" fontId="0" fillId="3" borderId="2" xfId="0" applyFill="1" applyBorder="1" applyAlignment="1">
      <alignment horizontal="center" vertical="center" wrapText="1"/>
    </xf>
    <xf numFmtId="0" fontId="13" fillId="0" borderId="0" xfId="2" applyFont="1" applyAlignment="1">
      <alignment vertical="center"/>
    </xf>
    <xf numFmtId="0" fontId="14" fillId="2" borderId="2" xfId="3" applyFill="1" applyBorder="1" applyAlignment="1">
      <alignment vertical="center"/>
    </xf>
    <xf numFmtId="0" fontId="10" fillId="2" borderId="2" xfId="3" applyFont="1" applyFill="1" applyBorder="1" applyAlignment="1">
      <alignment vertical="center"/>
    </xf>
    <xf numFmtId="0" fontId="13" fillId="2" borderId="0" xfId="2" applyFont="1" applyFill="1" applyAlignment="1">
      <alignment vertical="center"/>
    </xf>
    <xf numFmtId="0" fontId="11" fillId="0" borderId="2" xfId="2" applyBorder="1" applyAlignment="1">
      <alignment horizontal="center" vertical="center"/>
    </xf>
    <xf numFmtId="0" fontId="11" fillId="2" borderId="2" xfId="2" applyFill="1" applyBorder="1" applyAlignment="1">
      <alignment horizontal="center" vertical="center" wrapText="1"/>
    </xf>
    <xf numFmtId="0" fontId="11" fillId="0" borderId="2" xfId="2" applyBorder="1" applyAlignment="1">
      <alignment horizontal="center" vertical="center" wrapText="1"/>
    </xf>
    <xf numFmtId="0" fontId="11" fillId="2" borderId="2" xfId="2" applyFill="1" applyBorder="1" applyAlignment="1">
      <alignment vertical="center"/>
    </xf>
    <xf numFmtId="0" fontId="11" fillId="0" borderId="2" xfId="2" applyBorder="1" applyAlignment="1">
      <alignment vertical="center"/>
    </xf>
    <xf numFmtId="0" fontId="13" fillId="0" borderId="0" xfId="2" applyFont="1" applyAlignment="1">
      <alignment vertical="center" wrapText="1"/>
    </xf>
    <xf numFmtId="0" fontId="13" fillId="0" borderId="0" xfId="2" applyFont="1" applyAlignment="1">
      <alignment horizontal="center" vertical="center" wrapText="1"/>
    </xf>
    <xf numFmtId="0" fontId="13" fillId="0" borderId="0" xfId="2" applyFont="1" applyAlignment="1">
      <alignment horizontal="center" vertical="center"/>
    </xf>
    <xf numFmtId="0" fontId="14" fillId="3" borderId="2" xfId="3" applyFill="1" applyBorder="1" applyAlignment="1">
      <alignment vertical="center"/>
    </xf>
    <xf numFmtId="0" fontId="11" fillId="3" borderId="2" xfId="2" applyFill="1" applyBorder="1" applyAlignment="1">
      <alignment vertical="center"/>
    </xf>
    <xf numFmtId="0" fontId="15" fillId="3" borderId="2" xfId="2" applyFont="1" applyFill="1" applyBorder="1" applyAlignment="1">
      <alignment horizontal="left" vertical="center"/>
    </xf>
    <xf numFmtId="0" fontId="15" fillId="2" borderId="2" xfId="2" applyFont="1" applyFill="1" applyBorder="1" applyAlignment="1">
      <alignment horizontal="left" vertical="center"/>
    </xf>
    <xf numFmtId="0" fontId="11" fillId="2" borderId="2" xfId="2" applyFill="1" applyBorder="1" applyAlignment="1">
      <alignment horizontal="center" vertical="center"/>
    </xf>
    <xf numFmtId="0" fontId="19" fillId="3" borderId="2" xfId="3" applyFont="1" applyFill="1" applyBorder="1" applyAlignment="1">
      <alignment vertical="center"/>
    </xf>
    <xf numFmtId="0" fontId="18" fillId="2" borderId="2" xfId="3" applyFont="1" applyFill="1" applyBorder="1" applyAlignment="1">
      <alignment vertical="center"/>
    </xf>
    <xf numFmtId="0" fontId="11" fillId="2" borderId="2" xfId="2" applyFill="1" applyBorder="1" applyAlignment="1">
      <alignment vertical="center" wrapText="1"/>
    </xf>
    <xf numFmtId="0" fontId="11" fillId="3" borderId="2" xfId="2" applyFill="1" applyBorder="1" applyAlignment="1">
      <alignment horizontal="center" vertical="center"/>
    </xf>
    <xf numFmtId="0" fontId="11" fillId="0" borderId="0" xfId="2" applyAlignment="1">
      <alignment vertical="center"/>
    </xf>
    <xf numFmtId="0" fontId="20" fillId="3" borderId="2" xfId="3" applyFont="1" applyFill="1" applyBorder="1" applyAlignment="1">
      <alignment horizontal="left" vertical="center"/>
    </xf>
    <xf numFmtId="0" fontId="17" fillId="3" borderId="2" xfId="3" applyFont="1" applyFill="1" applyBorder="1" applyAlignment="1">
      <alignment horizontal="left" vertical="center"/>
    </xf>
    <xf numFmtId="0" fontId="17" fillId="3" borderId="2" xfId="3" applyFont="1" applyFill="1" applyBorder="1" applyAlignment="1">
      <alignment vertical="center"/>
    </xf>
    <xf numFmtId="0" fontId="8" fillId="3" borderId="2" xfId="2" applyFont="1" applyFill="1" applyBorder="1" applyAlignment="1">
      <alignment vertical="center"/>
    </xf>
    <xf numFmtId="0" fontId="18" fillId="3" borderId="2" xfId="3" applyFont="1" applyFill="1" applyBorder="1" applyAlignment="1">
      <alignment vertical="center"/>
    </xf>
    <xf numFmtId="0" fontId="11" fillId="3" borderId="2" xfId="2" applyFill="1" applyBorder="1" applyAlignment="1">
      <alignment vertical="center" wrapText="1"/>
    </xf>
    <xf numFmtId="0" fontId="11" fillId="3" borderId="2" xfId="2" applyFill="1" applyBorder="1" applyAlignment="1">
      <alignment horizontal="center" vertical="center" wrapText="1"/>
    </xf>
    <xf numFmtId="0" fontId="11" fillId="0" borderId="1" xfId="2" applyBorder="1" applyAlignment="1">
      <alignment horizontal="center" vertical="center"/>
    </xf>
    <xf numFmtId="0" fontId="11" fillId="0" borderId="3" xfId="2" applyBorder="1" applyAlignment="1">
      <alignment horizontal="center" vertical="center"/>
    </xf>
    <xf numFmtId="0" fontId="0" fillId="8" borderId="2" xfId="0" applyFill="1" applyBorder="1" applyAlignment="1">
      <alignment horizontal="center" vertical="center" wrapText="1"/>
    </xf>
    <xf numFmtId="0" fontId="0" fillId="4" borderId="2" xfId="0" applyFill="1" applyBorder="1" applyAlignment="1">
      <alignment horizontal="center" vertical="center"/>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9" borderId="2" xfId="0" applyFill="1" applyBorder="1" applyAlignment="1">
      <alignment horizontal="center" vertical="center" wrapText="1"/>
    </xf>
    <xf numFmtId="49" fontId="0" fillId="8" borderId="2" xfId="0" applyNumberFormat="1" applyFill="1" applyBorder="1" applyAlignment="1">
      <alignment horizontal="center" vertical="center" wrapText="1"/>
    </xf>
    <xf numFmtId="0" fontId="0" fillId="2" borderId="2" xfId="0" applyFill="1" applyBorder="1" applyAlignment="1">
      <alignment horizontal="center" vertical="center"/>
    </xf>
    <xf numFmtId="49" fontId="0" fillId="3" borderId="2" xfId="0" applyNumberFormat="1" applyFill="1" applyBorder="1" applyAlignment="1">
      <alignment vertical="center" wrapText="1"/>
    </xf>
    <xf numFmtId="0" fontId="9" fillId="3" borderId="2" xfId="1" applyFill="1" applyBorder="1" applyAlignment="1">
      <alignment vertical="center"/>
    </xf>
    <xf numFmtId="0" fontId="9" fillId="3" borderId="2" xfId="1" applyFill="1" applyBorder="1" applyAlignment="1">
      <alignment horizontal="left" vertical="center"/>
    </xf>
    <xf numFmtId="0" fontId="11" fillId="4" borderId="0" xfId="2" applyFill="1" applyAlignment="1">
      <alignment vertical="center"/>
    </xf>
    <xf numFmtId="0" fontId="13" fillId="4" borderId="0" xfId="2" applyFont="1" applyFill="1" applyAlignment="1">
      <alignment vertical="center"/>
    </xf>
    <xf numFmtId="0" fontId="0" fillId="3" borderId="2" xfId="0" applyFill="1" applyBorder="1" applyAlignment="1">
      <alignment horizontal="left" vertical="center" wrapText="1"/>
    </xf>
    <xf numFmtId="0" fontId="0" fillId="4" borderId="7" xfId="0" applyFill="1" applyBorder="1" applyAlignment="1">
      <alignment horizontal="center" vertical="center" wrapText="1"/>
    </xf>
    <xf numFmtId="49" fontId="0" fillId="0" borderId="7" xfId="0" applyNumberFormat="1" applyBorder="1" applyAlignment="1">
      <alignment vertical="center" wrapText="1"/>
    </xf>
    <xf numFmtId="0" fontId="9" fillId="0" borderId="2" xfId="1" applyFill="1" applyBorder="1" applyAlignment="1">
      <alignment horizontal="left" vertical="center"/>
    </xf>
    <xf numFmtId="0" fontId="12" fillId="0" borderId="2" xfId="2" applyFont="1" applyBorder="1" applyAlignment="1">
      <alignment horizontal="center" vertical="center"/>
    </xf>
    <xf numFmtId="0" fontId="12" fillId="0" borderId="2" xfId="2" applyFont="1" applyBorder="1" applyAlignment="1">
      <alignment horizontal="center" vertical="center" wrapText="1"/>
    </xf>
    <xf numFmtId="49" fontId="11" fillId="0" borderId="2" xfId="2" applyNumberFormat="1" applyBorder="1" applyAlignment="1">
      <alignment horizontal="center" vertical="center" wrapText="1"/>
    </xf>
    <xf numFmtId="0" fontId="9" fillId="2" borderId="2" xfId="1" applyFill="1" applyBorder="1" applyAlignment="1">
      <alignment vertical="center"/>
    </xf>
    <xf numFmtId="0" fontId="10" fillId="0" borderId="2" xfId="3" applyFont="1" applyBorder="1" applyAlignment="1">
      <alignment vertical="center"/>
    </xf>
    <xf numFmtId="0" fontId="9" fillId="2" borderId="3" xfId="1" applyFill="1" applyBorder="1" applyAlignment="1">
      <alignment vertical="center"/>
    </xf>
    <xf numFmtId="0" fontId="10" fillId="0" borderId="3" xfId="3" applyFont="1" applyBorder="1" applyAlignment="1">
      <alignment vertical="center"/>
    </xf>
    <xf numFmtId="0" fontId="0" fillId="0" borderId="0" xfId="0" applyAlignment="1">
      <alignment horizontal="center" wrapText="1"/>
    </xf>
    <xf numFmtId="0" fontId="0" fillId="4" borderId="2" xfId="0" applyFill="1" applyBorder="1" applyAlignment="1">
      <alignment horizontal="left" vertical="center" wrapText="1"/>
    </xf>
    <xf numFmtId="49" fontId="0" fillId="4" borderId="12" xfId="0" applyNumberFormat="1" applyFill="1" applyBorder="1" applyAlignment="1">
      <alignment vertical="center" wrapText="1"/>
    </xf>
    <xf numFmtId="0" fontId="9" fillId="0" borderId="2" xfId="1" applyBorder="1"/>
    <xf numFmtId="0" fontId="10" fillId="0" borderId="2" xfId="3" applyFont="1" applyFill="1" applyBorder="1" applyAlignment="1">
      <alignment vertical="center"/>
    </xf>
    <xf numFmtId="0" fontId="9" fillId="0" borderId="2" xfId="1" applyBorder="1" applyAlignment="1">
      <alignment vertical="center"/>
    </xf>
    <xf numFmtId="0" fontId="7" fillId="0" borderId="2" xfId="2" applyFont="1" applyBorder="1" applyAlignment="1">
      <alignment vertical="center"/>
    </xf>
    <xf numFmtId="0" fontId="11" fillId="0" borderId="3" xfId="2" applyBorder="1" applyAlignment="1">
      <alignment horizontal="center" vertical="center" wrapText="1"/>
    </xf>
    <xf numFmtId="0" fontId="21" fillId="0" borderId="0" xfId="4" applyAlignment="1">
      <alignment vertical="center"/>
    </xf>
    <xf numFmtId="0" fontId="21" fillId="0" borderId="2" xfId="4" applyBorder="1" applyAlignment="1">
      <alignment horizontal="center" vertical="center"/>
    </xf>
    <xf numFmtId="0" fontId="21" fillId="0" borderId="2" xfId="4" applyBorder="1" applyAlignment="1">
      <alignment vertical="center"/>
    </xf>
    <xf numFmtId="0" fontId="21" fillId="0" borderId="3" xfId="4" applyBorder="1" applyAlignment="1">
      <alignment horizontal="center" vertical="center"/>
    </xf>
    <xf numFmtId="0" fontId="21" fillId="0" borderId="3" xfId="4" applyBorder="1" applyAlignment="1">
      <alignment vertical="center"/>
    </xf>
    <xf numFmtId="0" fontId="21" fillId="0" borderId="0" xfId="4" applyAlignment="1">
      <alignment horizontal="center" vertical="center"/>
    </xf>
    <xf numFmtId="0" fontId="21" fillId="8" borderId="1" xfId="4" applyFill="1" applyBorder="1" applyAlignment="1">
      <alignment horizontal="center" vertical="center"/>
    </xf>
    <xf numFmtId="0" fontId="21" fillId="0" borderId="1" xfId="4" applyBorder="1" applyAlignment="1">
      <alignment horizontal="center" vertical="center"/>
    </xf>
    <xf numFmtId="0" fontId="21" fillId="0" borderId="1" xfId="4" applyBorder="1" applyAlignment="1">
      <alignment vertical="center"/>
    </xf>
    <xf numFmtId="49" fontId="11" fillId="2" borderId="2" xfId="2" applyNumberFormat="1" applyFill="1" applyBorder="1" applyAlignment="1">
      <alignment horizontal="center" vertical="center" wrapText="1"/>
    </xf>
    <xf numFmtId="49" fontId="11" fillId="3" borderId="2" xfId="2" quotePrefix="1" applyNumberFormat="1" applyFill="1" applyBorder="1" applyAlignment="1">
      <alignment horizontal="center" vertical="center" wrapText="1"/>
    </xf>
    <xf numFmtId="14" fontId="22" fillId="0" borderId="2" xfId="0" applyNumberFormat="1" applyFont="1" applyBorder="1" applyAlignment="1">
      <alignment horizontal="center" vertical="center"/>
    </xf>
    <xf numFmtId="0" fontId="0" fillId="0" borderId="7" xfId="0" applyBorder="1" applyAlignment="1">
      <alignment vertical="center" wrapText="1"/>
    </xf>
    <xf numFmtId="0" fontId="0" fillId="2" borderId="2" xfId="0" applyFill="1" applyBorder="1" applyAlignment="1">
      <alignment vertical="center" wrapText="1"/>
    </xf>
    <xf numFmtId="0" fontId="0" fillId="0" borderId="5" xfId="0" applyBorder="1" applyAlignment="1">
      <alignment horizontal="center" vertical="center"/>
    </xf>
    <xf numFmtId="0" fontId="0" fillId="0" borderId="10" xfId="0" applyBorder="1" applyAlignment="1">
      <alignment horizontal="center" vertical="center"/>
    </xf>
    <xf numFmtId="0" fontId="9" fillId="0" borderId="7" xfId="1" applyBorder="1" applyAlignment="1">
      <alignment vertical="center"/>
    </xf>
    <xf numFmtId="0" fontId="0" fillId="9" borderId="5" xfId="0" applyFill="1" applyBorder="1" applyAlignment="1">
      <alignment horizontal="center" vertical="center" wrapText="1"/>
    </xf>
    <xf numFmtId="49" fontId="0" fillId="4" borderId="2" xfId="0" applyNumberFormat="1" applyFill="1" applyBorder="1" applyAlignment="1">
      <alignment horizontal="center" vertical="center" wrapText="1"/>
    </xf>
    <xf numFmtId="49" fontId="0" fillId="0" borderId="2" xfId="0" applyNumberFormat="1" applyBorder="1" applyAlignment="1">
      <alignment horizontal="center" vertical="center" wrapText="1"/>
    </xf>
    <xf numFmtId="0" fontId="5" fillId="0" borderId="0" xfId="0" applyFont="1" applyAlignment="1">
      <alignment horizontal="center" vertical="center"/>
    </xf>
    <xf numFmtId="49" fontId="0" fillId="4" borderId="12" xfId="0" applyNumberFormat="1" applyFill="1" applyBorder="1" applyAlignment="1">
      <alignment horizontal="center" vertical="center" wrapText="1"/>
    </xf>
    <xf numFmtId="49" fontId="0" fillId="2" borderId="2" xfId="0" applyNumberFormat="1" applyFill="1" applyBorder="1" applyAlignment="1">
      <alignment horizontal="center" vertical="center" wrapText="1"/>
    </xf>
    <xf numFmtId="49" fontId="0" fillId="0" borderId="7" xfId="0" applyNumberFormat="1" applyBorder="1" applyAlignment="1">
      <alignment horizontal="center" vertical="center" wrapText="1"/>
    </xf>
    <xf numFmtId="49" fontId="0" fillId="0" borderId="0" xfId="0" applyNumberFormat="1" applyAlignment="1">
      <alignment horizontal="center" vertical="center" wrapText="1"/>
    </xf>
    <xf numFmtId="49" fontId="0" fillId="3" borderId="2" xfId="0" applyNumberFormat="1" applyFill="1" applyBorder="1" applyAlignment="1">
      <alignment horizontal="center" vertical="center" wrapText="1"/>
    </xf>
    <xf numFmtId="49" fontId="0" fillId="3" borderId="15" xfId="0" quotePrefix="1" applyNumberFormat="1" applyFill="1" applyBorder="1" applyAlignment="1">
      <alignment vertical="center" wrapText="1"/>
    </xf>
    <xf numFmtId="0" fontId="0" fillId="0" borderId="2" xfId="4" applyFont="1" applyBorder="1" applyAlignment="1">
      <alignment horizontal="center" vertical="center"/>
    </xf>
    <xf numFmtId="0" fontId="21" fillId="0" borderId="7" xfId="4" applyBorder="1" applyAlignment="1">
      <alignment horizontal="center" vertical="center"/>
    </xf>
    <xf numFmtId="0" fontId="21" fillId="0" borderId="7" xfId="4" applyBorder="1" applyAlignment="1">
      <alignment vertical="center"/>
    </xf>
    <xf numFmtId="1" fontId="21" fillId="0" borderId="2" xfId="4" applyNumberFormat="1" applyBorder="1" applyAlignment="1">
      <alignment horizontal="center" vertical="center"/>
    </xf>
    <xf numFmtId="0" fontId="0" fillId="0" borderId="11" xfId="0" applyBorder="1" applyAlignment="1">
      <alignment vertical="center" wrapText="1"/>
    </xf>
    <xf numFmtId="0" fontId="23" fillId="0" borderId="0" xfId="0" applyFont="1" applyAlignment="1">
      <alignment vertical="center" wrapText="1"/>
    </xf>
    <xf numFmtId="0" fontId="23" fillId="0" borderId="2" xfId="0" applyFont="1" applyBorder="1" applyAlignment="1">
      <alignment horizontal="center" vertical="center" wrapText="1"/>
    </xf>
    <xf numFmtId="0" fontId="23" fillId="0" borderId="5" xfId="0" applyFont="1" applyBorder="1" applyAlignment="1">
      <alignment horizontal="left" vertical="center" wrapText="1"/>
    </xf>
    <xf numFmtId="49" fontId="23" fillId="0" borderId="2" xfId="0" applyNumberFormat="1" applyFont="1" applyBorder="1" applyAlignment="1">
      <alignment vertical="center" wrapText="1"/>
    </xf>
    <xf numFmtId="0" fontId="24" fillId="0" borderId="8" xfId="0" applyFont="1" applyBorder="1" applyAlignment="1">
      <alignment horizontal="center" vertical="center"/>
    </xf>
    <xf numFmtId="0" fontId="23" fillId="0" borderId="4" xfId="0" applyFont="1" applyBorder="1" applyAlignment="1">
      <alignment horizontal="center" vertical="center"/>
    </xf>
    <xf numFmtId="0" fontId="23" fillId="0" borderId="2" xfId="0" applyFont="1" applyBorder="1" applyAlignment="1">
      <alignment vertical="center" wrapText="1"/>
    </xf>
    <xf numFmtId="0" fontId="23" fillId="0" borderId="5" xfId="0" applyFont="1" applyBorder="1" applyAlignment="1">
      <alignment vertical="center" wrapText="1"/>
    </xf>
    <xf numFmtId="0" fontId="0" fillId="0" borderId="2" xfId="0" applyBorder="1" applyAlignment="1">
      <alignment horizontal="left" vertical="center" wrapText="1"/>
    </xf>
    <xf numFmtId="49" fontId="0" fillId="0" borderId="2" xfId="0" applyNumberFormat="1" applyBorder="1" applyAlignment="1">
      <alignment horizontal="left" vertical="center" wrapText="1"/>
    </xf>
    <xf numFmtId="0" fontId="0" fillId="4" borderId="2" xfId="0" quotePrefix="1" applyFill="1" applyBorder="1" applyAlignment="1">
      <alignment vertical="center" wrapText="1"/>
    </xf>
    <xf numFmtId="0" fontId="0" fillId="4" borderId="5" xfId="0" applyFill="1" applyBorder="1" applyAlignment="1">
      <alignment horizontal="center" vertical="center"/>
    </xf>
    <xf numFmtId="0" fontId="0" fillId="3" borderId="2" xfId="0" applyFill="1" applyBorder="1" applyAlignment="1">
      <alignment vertical="center"/>
    </xf>
    <xf numFmtId="0" fontId="0" fillId="4" borderId="9" xfId="0" applyFill="1" applyBorder="1" applyAlignment="1">
      <alignment horizontal="center" vertical="center"/>
    </xf>
    <xf numFmtId="0" fontId="11" fillId="0" borderId="2" xfId="2" applyBorder="1" applyAlignment="1">
      <alignment vertical="center" wrapText="1"/>
    </xf>
    <xf numFmtId="49" fontId="9" fillId="0" borderId="7" xfId="1" applyNumberFormat="1" applyBorder="1" applyAlignment="1">
      <alignment vertical="center" wrapText="1"/>
    </xf>
    <xf numFmtId="0" fontId="1" fillId="8" borderId="1" xfId="4" applyFont="1" applyFill="1" applyBorder="1" applyAlignment="1">
      <alignment horizontal="center" vertical="center"/>
    </xf>
    <xf numFmtId="0" fontId="1" fillId="8" borderId="1" xfId="4" applyFont="1" applyFill="1" applyBorder="1" applyAlignment="1">
      <alignment horizontal="center" vertical="center" wrapText="1"/>
    </xf>
    <xf numFmtId="0" fontId="1" fillId="0" borderId="1" xfId="4" applyFont="1" applyBorder="1" applyAlignment="1">
      <alignment vertical="center"/>
    </xf>
    <xf numFmtId="1" fontId="1" fillId="0" borderId="1" xfId="4" applyNumberFormat="1" applyFont="1" applyBorder="1" applyAlignment="1">
      <alignment horizontal="center" vertical="center"/>
    </xf>
    <xf numFmtId="1" fontId="1" fillId="0" borderId="3" xfId="4" applyNumberFormat="1" applyFont="1" applyBorder="1" applyAlignment="1">
      <alignment horizontal="center" vertical="center"/>
    </xf>
    <xf numFmtId="0" fontId="6" fillId="7" borderId="7" xfId="0" applyFont="1" applyFill="1" applyBorder="1" applyAlignment="1">
      <alignment horizontal="center" vertical="center" wrapText="1"/>
    </xf>
    <xf numFmtId="0" fontId="11" fillId="0" borderId="1" xfId="2" applyBorder="1" applyAlignment="1">
      <alignment horizontal="left" vertical="center"/>
    </xf>
    <xf numFmtId="0" fontId="11" fillId="0" borderId="1" xfId="2" applyBorder="1" applyAlignment="1">
      <alignment vertical="center"/>
    </xf>
    <xf numFmtId="0" fontId="11" fillId="0" borderId="0" xfId="2" applyAlignment="1">
      <alignment horizontal="center" vertical="center"/>
    </xf>
    <xf numFmtId="0" fontId="11" fillId="0" borderId="2" xfId="2" applyBorder="1" applyAlignment="1">
      <alignment horizontal="left" vertical="center"/>
    </xf>
    <xf numFmtId="164" fontId="11" fillId="0" borderId="2" xfId="2" applyNumberFormat="1" applyBorder="1" applyAlignment="1">
      <alignment horizontal="center" vertical="center"/>
    </xf>
    <xf numFmtId="0" fontId="11" fillId="0" borderId="7" xfId="2" applyBorder="1" applyAlignment="1">
      <alignment vertical="center"/>
    </xf>
    <xf numFmtId="0" fontId="11" fillId="0" borderId="7" xfId="2" applyBorder="1" applyAlignment="1">
      <alignment vertical="center" wrapText="1"/>
    </xf>
    <xf numFmtId="0" fontId="11" fillId="0" borderId="7" xfId="2" applyBorder="1" applyAlignment="1">
      <alignment horizontal="center" vertical="center"/>
    </xf>
    <xf numFmtId="0" fontId="11" fillId="0" borderId="7" xfId="2" applyBorder="1" applyAlignment="1">
      <alignment horizontal="center" vertical="center" wrapText="1"/>
    </xf>
    <xf numFmtId="164" fontId="11" fillId="0" borderId="7" xfId="2" applyNumberFormat="1" applyBorder="1" applyAlignment="1">
      <alignment horizontal="center" vertical="center"/>
    </xf>
    <xf numFmtId="0" fontId="11" fillId="0" borderId="10" xfId="2" applyBorder="1" applyAlignment="1">
      <alignment horizontal="left" vertical="center"/>
    </xf>
    <xf numFmtId="0" fontId="11" fillId="2" borderId="3" xfId="2" applyFill="1" applyBorder="1" applyAlignment="1">
      <alignment horizontal="center" vertical="center"/>
    </xf>
    <xf numFmtId="0" fontId="11" fillId="0" borderId="2" xfId="2" applyBorder="1" applyAlignment="1">
      <alignment horizontal="left" vertical="center" wrapText="1"/>
    </xf>
    <xf numFmtId="49" fontId="11" fillId="2" borderId="2" xfId="2" quotePrefix="1" applyNumberFormat="1" applyFill="1" applyBorder="1" applyAlignment="1">
      <alignment horizontal="center" vertical="center" wrapText="1"/>
    </xf>
    <xf numFmtId="0" fontId="11" fillId="2" borderId="0" xfId="2" applyFill="1" applyAlignment="1">
      <alignment vertical="center"/>
    </xf>
    <xf numFmtId="0" fontId="11" fillId="4" borderId="2" xfId="2" applyFill="1" applyBorder="1" applyAlignment="1">
      <alignment vertical="center"/>
    </xf>
    <xf numFmtId="0" fontId="25" fillId="0" borderId="2" xfId="0" applyFont="1" applyBorder="1" applyAlignment="1">
      <alignment horizontal="center"/>
    </xf>
    <xf numFmtId="49" fontId="0" fillId="4" borderId="7" xfId="0" applyNumberFormat="1" applyFill="1" applyBorder="1" applyAlignment="1">
      <alignment horizontal="center" vertical="center" wrapText="1"/>
    </xf>
    <xf numFmtId="49" fontId="0" fillId="0" borderId="12" xfId="0" applyNumberFormat="1" applyBorder="1" applyAlignment="1">
      <alignment horizontal="center" vertical="center" wrapText="1"/>
    </xf>
    <xf numFmtId="0" fontId="26" fillId="0" borderId="2" xfId="0" applyFont="1" applyBorder="1" applyAlignment="1">
      <alignment horizontal="center"/>
    </xf>
    <xf numFmtId="0" fontId="13" fillId="3" borderId="0" xfId="2" applyFont="1" applyFill="1" applyAlignment="1">
      <alignment vertical="center"/>
    </xf>
    <xf numFmtId="0" fontId="13" fillId="5" borderId="0" xfId="2" applyFont="1" applyFill="1" applyAlignment="1">
      <alignment vertical="center"/>
    </xf>
    <xf numFmtId="0" fontId="11" fillId="5" borderId="2" xfId="2" applyFill="1" applyBorder="1" applyAlignment="1">
      <alignment vertical="center"/>
    </xf>
    <xf numFmtId="0" fontId="11" fillId="5" borderId="2" xfId="2" applyFill="1" applyBorder="1" applyAlignment="1">
      <alignment horizontal="center" vertical="center"/>
    </xf>
    <xf numFmtId="0" fontId="11" fillId="5" borderId="2" xfId="2" applyFill="1" applyBorder="1" applyAlignment="1">
      <alignment vertical="center" wrapText="1"/>
    </xf>
    <xf numFmtId="0" fontId="11" fillId="5" borderId="2" xfId="2" applyFill="1" applyBorder="1" applyAlignment="1">
      <alignment horizontal="center" vertical="center" wrapText="1"/>
    </xf>
    <xf numFmtId="0" fontId="5" fillId="3" borderId="2" xfId="2" applyFont="1" applyFill="1" applyBorder="1"/>
    <xf numFmtId="0" fontId="9" fillId="3" borderId="2" xfId="1" applyFill="1" applyBorder="1"/>
    <xf numFmtId="0" fontId="16" fillId="3" borderId="2" xfId="2" applyFont="1" applyFill="1" applyBorder="1" applyAlignment="1">
      <alignment vertical="center"/>
    </xf>
    <xf numFmtId="0" fontId="10" fillId="3" borderId="2" xfId="3" applyFont="1" applyFill="1" applyBorder="1" applyAlignment="1">
      <alignment vertical="center"/>
    </xf>
    <xf numFmtId="49" fontId="11" fillId="3" borderId="2" xfId="2" applyNumberFormat="1" applyFill="1" applyBorder="1" applyAlignment="1">
      <alignment horizontal="center" vertical="center" wrapText="1"/>
    </xf>
    <xf numFmtId="0" fontId="11" fillId="3" borderId="2" xfId="2" applyFill="1" applyBorder="1" applyAlignment="1">
      <alignment horizontal="left" vertical="center"/>
    </xf>
    <xf numFmtId="0" fontId="0" fillId="5" borderId="2" xfId="0" applyFill="1" applyBorder="1" applyAlignment="1">
      <alignment horizontal="center" vertical="center" wrapText="1"/>
    </xf>
    <xf numFmtId="0" fontId="9" fillId="5" borderId="2" xfId="1" applyFill="1" applyBorder="1" applyAlignment="1">
      <alignment vertical="center"/>
    </xf>
    <xf numFmtId="0" fontId="10" fillId="5" borderId="2" xfId="3" applyFont="1" applyFill="1" applyBorder="1" applyAlignment="1">
      <alignment vertical="center"/>
    </xf>
    <xf numFmtId="49" fontId="11" fillId="5" borderId="2" xfId="2" quotePrefix="1" applyNumberFormat="1" applyFill="1" applyBorder="1" applyAlignment="1">
      <alignment horizontal="center" vertical="center" wrapText="1"/>
    </xf>
    <xf numFmtId="0" fontId="11" fillId="5" borderId="2" xfId="2" applyFill="1" applyBorder="1" applyAlignment="1">
      <alignment horizontal="left" vertical="center" wrapText="1"/>
    </xf>
    <xf numFmtId="0" fontId="5" fillId="3" borderId="2" xfId="0" applyFont="1" applyFill="1" applyBorder="1"/>
    <xf numFmtId="14" fontId="22" fillId="3" borderId="2" xfId="0" applyNumberFormat="1" applyFont="1" applyFill="1" applyBorder="1" applyAlignment="1">
      <alignment horizontal="center" vertical="center"/>
    </xf>
    <xf numFmtId="0" fontId="11" fillId="3" borderId="0" xfId="2" applyFill="1" applyAlignment="1">
      <alignment vertical="center"/>
    </xf>
    <xf numFmtId="164" fontId="11" fillId="3" borderId="2" xfId="2" applyNumberFormat="1" applyFill="1" applyBorder="1" applyAlignment="1">
      <alignment horizontal="center" vertical="center"/>
    </xf>
    <xf numFmtId="0" fontId="0" fillId="4" borderId="0" xfId="0" applyFill="1" applyAlignment="1">
      <alignment horizontal="center" vertical="center" wrapText="1"/>
    </xf>
    <xf numFmtId="0" fontId="17" fillId="0" borderId="2" xfId="3" applyFont="1" applyBorder="1" applyAlignment="1">
      <alignment vertical="center"/>
    </xf>
    <xf numFmtId="0" fontId="15" fillId="3" borderId="2" xfId="2" applyFont="1" applyFill="1" applyBorder="1" applyAlignment="1">
      <alignment vertical="center"/>
    </xf>
    <xf numFmtId="0" fontId="14" fillId="3" borderId="2" xfId="3" applyFill="1" applyBorder="1" applyAlignment="1">
      <alignment horizontal="left" vertical="center"/>
    </xf>
    <xf numFmtId="0" fontId="14" fillId="5" borderId="2" xfId="3" applyFill="1" applyBorder="1" applyAlignment="1">
      <alignment vertical="center"/>
    </xf>
    <xf numFmtId="0" fontId="15" fillId="5" borderId="2" xfId="2" applyFont="1" applyFill="1" applyBorder="1" applyAlignment="1">
      <alignment vertical="center"/>
    </xf>
    <xf numFmtId="49" fontId="11" fillId="5" borderId="2" xfId="2" applyNumberFormat="1" applyFill="1" applyBorder="1" applyAlignment="1">
      <alignment horizontal="center" vertical="center" wrapText="1"/>
    </xf>
    <xf numFmtId="0" fontId="16" fillId="5" borderId="2" xfId="2" applyFont="1" applyFill="1" applyBorder="1" applyAlignment="1">
      <alignment vertical="center"/>
    </xf>
    <xf numFmtId="164" fontId="11" fillId="3" borderId="2" xfId="2" applyNumberFormat="1" applyFill="1" applyBorder="1" applyAlignment="1">
      <alignment horizontal="center" vertical="center" wrapText="1"/>
    </xf>
    <xf numFmtId="164" fontId="11" fillId="0" borderId="2" xfId="2" applyNumberFormat="1" applyBorder="1" applyAlignment="1">
      <alignment horizontal="center" vertical="center" wrapText="1"/>
    </xf>
    <xf numFmtId="164" fontId="11" fillId="3" borderId="2" xfId="2" quotePrefix="1" applyNumberFormat="1" applyFill="1" applyBorder="1" applyAlignment="1">
      <alignment horizontal="center" vertical="center" wrapText="1"/>
    </xf>
    <xf numFmtId="164" fontId="11" fillId="0" borderId="2" xfId="2" quotePrefix="1" applyNumberFormat="1" applyBorder="1" applyAlignment="1">
      <alignment horizontal="center" vertical="center" wrapText="1"/>
    </xf>
    <xf numFmtId="0" fontId="16" fillId="0" borderId="2" xfId="2" applyFont="1" applyBorder="1" applyAlignment="1">
      <alignment vertical="center"/>
    </xf>
    <xf numFmtId="164" fontId="11" fillId="2" borderId="2" xfId="2" applyNumberFormat="1" applyFill="1" applyBorder="1" applyAlignment="1">
      <alignment horizontal="center" vertical="center" wrapText="1"/>
    </xf>
    <xf numFmtId="0" fontId="11" fillId="2" borderId="2" xfId="2" applyFill="1" applyBorder="1" applyAlignment="1">
      <alignment horizontal="left" vertical="center"/>
    </xf>
    <xf numFmtId="0" fontId="11" fillId="3" borderId="6" xfId="2" applyFill="1" applyBorder="1" applyAlignment="1">
      <alignment vertical="center"/>
    </xf>
    <xf numFmtId="0" fontId="11" fillId="5" borderId="0" xfId="2" applyFill="1" applyAlignment="1">
      <alignment vertical="center"/>
    </xf>
    <xf numFmtId="14" fontId="11" fillId="0" borderId="2" xfId="2" applyNumberFormat="1" applyBorder="1" applyAlignment="1">
      <alignment horizontal="center" vertical="center" wrapText="1"/>
    </xf>
    <xf numFmtId="0" fontId="9" fillId="0" borderId="2" xfId="1" applyBorder="1" applyAlignment="1">
      <alignment wrapText="1"/>
    </xf>
    <xf numFmtId="167" fontId="11" fillId="0" borderId="2" xfId="2" applyNumberFormat="1" applyBorder="1" applyAlignment="1">
      <alignment vertical="center" wrapText="1"/>
    </xf>
    <xf numFmtId="0" fontId="10" fillId="0" borderId="3" xfId="3" applyFont="1" applyFill="1" applyBorder="1" applyAlignment="1">
      <alignment vertical="center"/>
    </xf>
    <xf numFmtId="164" fontId="11" fillId="0" borderId="3" xfId="2" quotePrefix="1" applyNumberFormat="1" applyBorder="1" applyAlignment="1">
      <alignment horizontal="center" vertical="center" wrapText="1"/>
    </xf>
    <xf numFmtId="0" fontId="13" fillId="0" borderId="2" xfId="2" applyFont="1" applyBorder="1" applyAlignment="1">
      <alignment horizontal="center" vertical="center"/>
    </xf>
    <xf numFmtId="0" fontId="13" fillId="0" borderId="2" xfId="2" applyFont="1" applyBorder="1" applyAlignment="1">
      <alignment vertical="center"/>
    </xf>
    <xf numFmtId="0" fontId="13" fillId="0" borderId="2" xfId="2" applyFont="1" applyBorder="1" applyAlignment="1">
      <alignment vertical="center" wrapText="1"/>
    </xf>
    <xf numFmtId="0" fontId="13" fillId="0" borderId="2" xfId="2" applyFont="1" applyBorder="1" applyAlignment="1">
      <alignment horizontal="center" vertical="center" wrapText="1"/>
    </xf>
    <xf numFmtId="164" fontId="13" fillId="0" borderId="2" xfId="2" applyNumberFormat="1" applyFont="1" applyBorder="1" applyAlignment="1">
      <alignment horizontal="center" vertical="center"/>
    </xf>
    <xf numFmtId="0" fontId="13" fillId="0" borderId="2" xfId="2" applyFont="1" applyBorder="1" applyAlignment="1">
      <alignment horizontal="left" vertical="center"/>
    </xf>
    <xf numFmtId="0" fontId="27" fillId="8" borderId="2" xfId="2" applyFont="1" applyFill="1" applyBorder="1" applyAlignment="1">
      <alignment horizontal="center" vertical="center"/>
    </xf>
    <xf numFmtId="0" fontId="27" fillId="8" borderId="2" xfId="2" applyFont="1" applyFill="1" applyBorder="1" applyAlignment="1">
      <alignment horizontal="center" vertical="center" wrapText="1"/>
    </xf>
    <xf numFmtId="164" fontId="28" fillId="8" borderId="2" xfId="2" applyNumberFormat="1" applyFont="1" applyFill="1" applyBorder="1" applyAlignment="1">
      <alignment horizontal="center" vertical="center" wrapText="1"/>
    </xf>
    <xf numFmtId="0" fontId="28" fillId="8" borderId="2" xfId="2" applyFont="1" applyFill="1" applyBorder="1" applyAlignment="1">
      <alignment horizontal="center" vertical="center" wrapText="1"/>
    </xf>
    <xf numFmtId="0" fontId="28" fillId="8" borderId="2" xfId="2" applyFont="1" applyFill="1" applyBorder="1" applyAlignment="1">
      <alignment horizontal="center" vertical="center"/>
    </xf>
    <xf numFmtId="0" fontId="28" fillId="0" borderId="2" xfId="2" applyFont="1" applyBorder="1" applyAlignment="1">
      <alignment horizontal="center" vertical="center"/>
    </xf>
    <xf numFmtId="0" fontId="29" fillId="4" borderId="2" xfId="0" applyFont="1" applyFill="1" applyBorder="1" applyAlignment="1">
      <alignment horizontal="center" vertical="center" wrapText="1"/>
    </xf>
    <xf numFmtId="0" fontId="30" fillId="2" borderId="2" xfId="1" applyFont="1" applyFill="1" applyBorder="1" applyAlignment="1">
      <alignment vertical="center"/>
    </xf>
    <xf numFmtId="0" fontId="31" fillId="0" borderId="2" xfId="3" applyFont="1" applyBorder="1" applyAlignment="1">
      <alignment vertical="center"/>
    </xf>
    <xf numFmtId="0" fontId="28" fillId="0" borderId="2" xfId="2" applyFont="1" applyBorder="1" applyAlignment="1">
      <alignment vertical="center" wrapText="1"/>
    </xf>
    <xf numFmtId="0" fontId="28" fillId="0" borderId="2" xfId="2" applyFont="1" applyBorder="1" applyAlignment="1">
      <alignment horizontal="center" vertical="center" wrapText="1"/>
    </xf>
    <xf numFmtId="164" fontId="28" fillId="0" borderId="2" xfId="2" applyNumberFormat="1" applyFont="1" applyBorder="1" applyAlignment="1">
      <alignment horizontal="center" vertical="center" wrapText="1"/>
    </xf>
    <xf numFmtId="0" fontId="28" fillId="0" borderId="2" xfId="2" applyFont="1" applyBorder="1" applyAlignment="1">
      <alignment horizontal="left" vertical="center"/>
    </xf>
    <xf numFmtId="0" fontId="28" fillId="0" borderId="2" xfId="2" applyFont="1" applyBorder="1" applyAlignment="1">
      <alignment vertical="center"/>
    </xf>
    <xf numFmtId="164" fontId="28" fillId="0" borderId="2" xfId="2" quotePrefix="1" applyNumberFormat="1" applyFont="1" applyBorder="1" applyAlignment="1">
      <alignment horizontal="center" vertical="center" wrapText="1"/>
    </xf>
    <xf numFmtId="0" fontId="31" fillId="2" borderId="2" xfId="3" applyFont="1" applyFill="1" applyBorder="1" applyAlignment="1">
      <alignment vertical="center"/>
    </xf>
    <xf numFmtId="0" fontId="28" fillId="2" borderId="2" xfId="2" applyFont="1" applyFill="1" applyBorder="1" applyAlignment="1">
      <alignment vertical="center" wrapText="1"/>
    </xf>
    <xf numFmtId="0" fontId="28" fillId="2" borderId="2" xfId="2" applyFont="1" applyFill="1" applyBorder="1" applyAlignment="1">
      <alignment horizontal="center" vertical="center"/>
    </xf>
    <xf numFmtId="0" fontId="28" fillId="2" borderId="2" xfId="2" applyFont="1" applyFill="1" applyBorder="1" applyAlignment="1">
      <alignment horizontal="center" vertical="center" wrapText="1"/>
    </xf>
    <xf numFmtId="164" fontId="28" fillId="2" borderId="2" xfId="2" quotePrefix="1" applyNumberFormat="1" applyFont="1" applyFill="1" applyBorder="1" applyAlignment="1">
      <alignment horizontal="center" vertical="center" wrapText="1"/>
    </xf>
    <xf numFmtId="0" fontId="28" fillId="2" borderId="2" xfId="2" applyFont="1" applyFill="1" applyBorder="1" applyAlignment="1">
      <alignment horizontal="left" vertical="center" wrapText="1"/>
    </xf>
    <xf numFmtId="0" fontId="28" fillId="2" borderId="2" xfId="2" applyFont="1" applyFill="1" applyBorder="1" applyAlignment="1">
      <alignment vertical="center"/>
    </xf>
    <xf numFmtId="164" fontId="28" fillId="2" borderId="2" xfId="2" applyNumberFormat="1" applyFont="1" applyFill="1" applyBorder="1" applyAlignment="1">
      <alignment horizontal="center" vertical="center" wrapText="1"/>
    </xf>
    <xf numFmtId="0" fontId="28" fillId="2" borderId="2" xfId="2" applyFont="1" applyFill="1" applyBorder="1" applyAlignment="1">
      <alignment horizontal="left" vertical="center"/>
    </xf>
    <xf numFmtId="0" fontId="31" fillId="0" borderId="2" xfId="3" applyFont="1" applyFill="1" applyBorder="1" applyAlignment="1">
      <alignment vertical="center"/>
    </xf>
    <xf numFmtId="0" fontId="28" fillId="0" borderId="2" xfId="2" applyFont="1" applyBorder="1" applyAlignment="1">
      <alignment horizontal="left" vertical="center" wrapText="1"/>
    </xf>
    <xf numFmtId="164" fontId="28" fillId="0" borderId="2" xfId="2" applyNumberFormat="1" applyFont="1" applyBorder="1" applyAlignment="1">
      <alignment horizontal="center" vertical="center"/>
    </xf>
    <xf numFmtId="0" fontId="29" fillId="0" borderId="2" xfId="2" applyFont="1" applyBorder="1" applyAlignment="1">
      <alignment vertical="center"/>
    </xf>
    <xf numFmtId="0" fontId="32" fillId="0" borderId="2" xfId="2" applyFont="1" applyBorder="1" applyAlignment="1">
      <alignment horizontal="center" vertical="center"/>
    </xf>
    <xf numFmtId="164" fontId="29" fillId="0" borderId="2" xfId="2" applyNumberFormat="1" applyFont="1" applyBorder="1" applyAlignment="1">
      <alignment horizontal="center" vertical="center"/>
    </xf>
    <xf numFmtId="0" fontId="29" fillId="0" borderId="2" xfId="2" applyFont="1" applyBorder="1" applyAlignment="1">
      <alignment vertical="center" wrapText="1"/>
    </xf>
    <xf numFmtId="0" fontId="30" fillId="0" borderId="2" xfId="1" applyFont="1" applyBorder="1" applyAlignment="1">
      <alignment vertical="center"/>
    </xf>
    <xf numFmtId="0" fontId="28" fillId="0" borderId="2" xfId="0" applyFont="1" applyBorder="1"/>
    <xf numFmtId="0" fontId="29" fillId="0" borderId="2" xfId="0" applyFont="1" applyBorder="1"/>
    <xf numFmtId="0" fontId="33" fillId="0" borderId="2" xfId="0" applyFont="1" applyBorder="1" applyAlignment="1">
      <alignment horizontal="center" vertical="center"/>
    </xf>
    <xf numFmtId="0" fontId="29" fillId="0" borderId="2" xfId="0" applyFont="1" applyBorder="1" applyAlignment="1">
      <alignment horizontal="center" vertical="center" wrapText="1"/>
    </xf>
    <xf numFmtId="0" fontId="33" fillId="0" borderId="2" xfId="0" applyFont="1" applyBorder="1" applyAlignment="1">
      <alignment horizontal="center"/>
    </xf>
    <xf numFmtId="0" fontId="33" fillId="0" borderId="2" xfId="0" applyFont="1" applyBorder="1"/>
    <xf numFmtId="0" fontId="34" fillId="0" borderId="2" xfId="0" applyFont="1" applyBorder="1"/>
    <xf numFmtId="15" fontId="28" fillId="0" borderId="2" xfId="2" applyNumberFormat="1" applyFont="1" applyBorder="1" applyAlignment="1">
      <alignment horizontal="center" vertical="center"/>
    </xf>
    <xf numFmtId="14" fontId="11" fillId="0" borderId="2" xfId="2" applyNumberFormat="1" applyBorder="1" applyAlignment="1">
      <alignment horizontal="center" vertical="center"/>
    </xf>
    <xf numFmtId="0" fontId="9" fillId="0" borderId="0" xfId="1"/>
    <xf numFmtId="0" fontId="3" fillId="0" borderId="2" xfId="0" applyFont="1" applyBorder="1"/>
    <xf numFmtId="0" fontId="35" fillId="2" borderId="2" xfId="0" applyFont="1" applyFill="1" applyBorder="1" applyAlignment="1">
      <alignment horizontal="left" wrapText="1"/>
    </xf>
    <xf numFmtId="0" fontId="3" fillId="0" borderId="0" xfId="0" applyFont="1" applyAlignment="1">
      <alignment horizontal="left"/>
    </xf>
    <xf numFmtId="0" fontId="0" fillId="10" borderId="2" xfId="0" applyFill="1" applyBorder="1" applyAlignment="1">
      <alignment horizontal="left"/>
    </xf>
    <xf numFmtId="0" fontId="0" fillId="10" borderId="2" xfId="0" applyFill="1" applyBorder="1"/>
    <xf numFmtId="0" fontId="29" fillId="8" borderId="2" xfId="0" applyFont="1" applyFill="1" applyBorder="1" applyAlignment="1">
      <alignment horizontal="center" vertical="center" wrapText="1"/>
    </xf>
    <xf numFmtId="0" fontId="29" fillId="0" borderId="2" xfId="0" applyFont="1" applyBorder="1" applyAlignment="1">
      <alignment vertical="center" wrapText="1"/>
    </xf>
    <xf numFmtId="0" fontId="29" fillId="0" borderId="2" xfId="0" applyFont="1" applyBorder="1" applyAlignment="1">
      <alignment vertical="center"/>
    </xf>
    <xf numFmtId="0" fontId="29" fillId="0" borderId="2" xfId="0" applyFont="1" applyBorder="1" applyAlignment="1">
      <alignment horizontal="center" vertical="center"/>
    </xf>
    <xf numFmtId="0" fontId="29" fillId="4" borderId="2" xfId="0" applyFont="1" applyFill="1" applyBorder="1" applyAlignment="1">
      <alignment horizontal="center" vertical="center"/>
    </xf>
    <xf numFmtId="0" fontId="29" fillId="4" borderId="2" xfId="0" applyFont="1" applyFill="1" applyBorder="1" applyAlignment="1">
      <alignment vertical="center" wrapText="1"/>
    </xf>
    <xf numFmtId="0" fontId="29" fillId="4" borderId="5" xfId="0" applyFont="1" applyFill="1" applyBorder="1" applyAlignment="1">
      <alignment vertical="center" wrapText="1"/>
    </xf>
    <xf numFmtId="0" fontId="29" fillId="4" borderId="9" xfId="0" applyFont="1" applyFill="1" applyBorder="1" applyAlignment="1">
      <alignment horizontal="center" vertical="center"/>
    </xf>
    <xf numFmtId="0" fontId="29" fillId="0" borderId="12" xfId="0" applyFont="1" applyBorder="1" applyAlignment="1">
      <alignment vertical="center"/>
    </xf>
    <xf numFmtId="0" fontId="36" fillId="0" borderId="1" xfId="0" applyFont="1" applyBorder="1"/>
    <xf numFmtId="0" fontId="37" fillId="2" borderId="2" xfId="0" applyFont="1" applyFill="1" applyBorder="1" applyAlignment="1">
      <alignment horizontal="left" vertical="center" wrapText="1"/>
    </xf>
    <xf numFmtId="0" fontId="34" fillId="0" borderId="2" xfId="0" applyFont="1" applyBorder="1" applyAlignment="1">
      <alignment horizontal="center" vertical="center" wrapText="1"/>
    </xf>
    <xf numFmtId="49" fontId="29" fillId="0" borderId="2" xfId="0" applyNumberFormat="1" applyFont="1" applyBorder="1" applyAlignment="1">
      <alignment horizontal="left" vertical="center" wrapText="1"/>
    </xf>
    <xf numFmtId="0" fontId="29" fillId="3" borderId="2" xfId="0" applyFont="1" applyFill="1" applyBorder="1" applyAlignment="1">
      <alignment horizontal="center" vertical="center" wrapText="1"/>
    </xf>
    <xf numFmtId="49" fontId="29" fillId="3" borderId="15" xfId="0" quotePrefix="1" applyNumberFormat="1" applyFont="1" applyFill="1" applyBorder="1" applyAlignment="1">
      <alignment vertical="center" wrapText="1"/>
    </xf>
    <xf numFmtId="0" fontId="29" fillId="0" borderId="12" xfId="0" applyFont="1" applyBorder="1" applyAlignment="1">
      <alignment horizontal="center" vertical="center" wrapText="1"/>
    </xf>
    <xf numFmtId="49" fontId="29" fillId="4" borderId="2" xfId="0" applyNumberFormat="1" applyFont="1" applyFill="1" applyBorder="1" applyAlignment="1">
      <alignment vertical="center" wrapText="1"/>
    </xf>
    <xf numFmtId="0" fontId="34" fillId="0" borderId="2" xfId="1" applyFont="1" applyFill="1" applyBorder="1" applyAlignment="1">
      <alignment horizontal="center" vertical="center"/>
    </xf>
    <xf numFmtId="0" fontId="29" fillId="4" borderId="2" xfId="0" applyFont="1" applyFill="1" applyBorder="1" applyAlignment="1">
      <alignment vertical="center"/>
    </xf>
    <xf numFmtId="49" fontId="29" fillId="3" borderId="2" xfId="0" applyNumberFormat="1" applyFont="1" applyFill="1" applyBorder="1" applyAlignment="1">
      <alignment vertical="center" wrapText="1"/>
    </xf>
    <xf numFmtId="0" fontId="29" fillId="0" borderId="2" xfId="0" applyFont="1" applyBorder="1" applyAlignment="1">
      <alignment horizontal="left" vertical="center" wrapText="1"/>
    </xf>
    <xf numFmtId="0" fontId="29" fillId="0" borderId="0" xfId="0" applyFont="1" applyAlignment="1">
      <alignment horizontal="center" wrapText="1"/>
    </xf>
    <xf numFmtId="0" fontId="32" fillId="4" borderId="0" xfId="0" applyFont="1" applyFill="1" applyAlignment="1">
      <alignment horizontal="center" vertical="center"/>
    </xf>
    <xf numFmtId="0" fontId="29" fillId="0" borderId="9" xfId="0" applyFont="1" applyBorder="1" applyAlignment="1">
      <alignment horizontal="center" vertical="center" wrapText="1"/>
    </xf>
    <xf numFmtId="0" fontId="29" fillId="0" borderId="11" xfId="0" applyFont="1" applyBorder="1" applyAlignment="1">
      <alignment horizontal="center" vertical="center" wrapText="1"/>
    </xf>
    <xf numFmtId="0" fontId="29" fillId="0" borderId="7" xfId="0" applyFont="1" applyBorder="1" applyAlignment="1">
      <alignment horizontal="center" vertical="center" wrapText="1"/>
    </xf>
    <xf numFmtId="0" fontId="32" fillId="0" borderId="11" xfId="0" applyFont="1" applyBorder="1" applyAlignment="1">
      <alignment vertical="center" wrapText="1"/>
    </xf>
    <xf numFmtId="0" fontId="32" fillId="0" borderId="7" xfId="0" applyFont="1" applyBorder="1" applyAlignment="1">
      <alignment vertical="center" wrapText="1"/>
    </xf>
    <xf numFmtId="0" fontId="29" fillId="4" borderId="9" xfId="0" applyFont="1" applyFill="1" applyBorder="1" applyAlignment="1">
      <alignment vertical="center" wrapText="1"/>
    </xf>
    <xf numFmtId="0" fontId="29" fillId="4" borderId="2" xfId="0" quotePrefix="1" applyFont="1" applyFill="1" applyBorder="1" applyAlignment="1">
      <alignment vertical="center" wrapText="1"/>
    </xf>
    <xf numFmtId="0" fontId="29" fillId="0" borderId="11" xfId="0" applyFont="1" applyBorder="1" applyAlignment="1">
      <alignment vertical="center" wrapText="1"/>
    </xf>
    <xf numFmtId="0" fontId="29" fillId="0" borderId="7" xfId="0" applyFont="1" applyBorder="1" applyAlignment="1">
      <alignment vertical="center" wrapText="1"/>
    </xf>
    <xf numFmtId="0" fontId="29" fillId="0" borderId="9" xfId="0" applyFont="1" applyBorder="1" applyAlignment="1">
      <alignment vertical="center" wrapText="1"/>
    </xf>
    <xf numFmtId="0" fontId="29" fillId="4" borderId="12" xfId="0" applyFont="1" applyFill="1" applyBorder="1" applyAlignment="1">
      <alignment horizontal="center" vertical="center" wrapText="1"/>
    </xf>
    <xf numFmtId="0" fontId="29" fillId="0" borderId="12" xfId="0" applyFont="1" applyBorder="1" applyAlignment="1">
      <alignment vertical="center" wrapText="1"/>
    </xf>
    <xf numFmtId="0" fontId="29" fillId="0" borderId="14" xfId="0" applyFont="1" applyBorder="1" applyAlignment="1">
      <alignment horizontal="center" vertical="center" wrapText="1"/>
    </xf>
    <xf numFmtId="0" fontId="29" fillId="0" borderId="13" xfId="0" applyFont="1" applyBorder="1" applyAlignment="1">
      <alignment horizontal="center" vertical="center" wrapText="1"/>
    </xf>
    <xf numFmtId="0" fontId="29" fillId="5" borderId="2" xfId="0" applyFont="1" applyFill="1" applyBorder="1" applyAlignment="1">
      <alignment horizontal="center" vertical="center" wrapText="1"/>
    </xf>
    <xf numFmtId="0" fontId="29" fillId="0" borderId="1" xfId="0" applyFont="1" applyBorder="1" applyAlignment="1">
      <alignment horizontal="center" vertical="center"/>
    </xf>
    <xf numFmtId="0" fontId="29" fillId="0" borderId="5" xfId="0" applyFont="1" applyBorder="1" applyAlignment="1">
      <alignment horizontal="center" vertical="center" wrapText="1"/>
    </xf>
    <xf numFmtId="49" fontId="29" fillId="4" borderId="6" xfId="0" applyNumberFormat="1" applyFont="1" applyFill="1" applyBorder="1" applyAlignment="1">
      <alignment horizontal="center" vertical="center"/>
    </xf>
    <xf numFmtId="0" fontId="29" fillId="4" borderId="1" xfId="0" applyFont="1" applyFill="1" applyBorder="1" applyAlignment="1">
      <alignment horizontal="center" vertical="center"/>
    </xf>
    <xf numFmtId="0" fontId="29" fillId="4" borderId="1" xfId="0" applyFont="1" applyFill="1" applyBorder="1" applyAlignment="1">
      <alignment horizontal="center" vertical="center" wrapText="1"/>
    </xf>
    <xf numFmtId="0" fontId="29" fillId="0" borderId="5" xfId="0" applyFont="1" applyBorder="1" applyAlignment="1">
      <alignment horizontal="left" vertical="center" wrapText="1"/>
    </xf>
    <xf numFmtId="0" fontId="29" fillId="6" borderId="2" xfId="0" applyFont="1" applyFill="1" applyBorder="1" applyAlignment="1">
      <alignment horizontal="center" vertical="center" wrapText="1"/>
    </xf>
    <xf numFmtId="0" fontId="29" fillId="6" borderId="2" xfId="0" applyFont="1" applyFill="1" applyBorder="1" applyAlignment="1">
      <alignment vertical="center" wrapText="1"/>
    </xf>
    <xf numFmtId="0" fontId="29" fillId="6" borderId="2" xfId="0" applyFont="1" applyFill="1" applyBorder="1" applyAlignment="1">
      <alignment vertical="center"/>
    </xf>
    <xf numFmtId="0" fontId="29" fillId="6" borderId="2" xfId="0" applyFont="1" applyFill="1" applyBorder="1" applyAlignment="1">
      <alignment horizontal="center" vertical="center"/>
    </xf>
    <xf numFmtId="0" fontId="0" fillId="6" borderId="2" xfId="0" applyFill="1" applyBorder="1" applyAlignment="1">
      <alignment horizontal="center" vertical="center" wrapText="1"/>
    </xf>
    <xf numFmtId="49" fontId="0" fillId="6" borderId="2" xfId="0" applyNumberFormat="1" applyFill="1" applyBorder="1" applyAlignment="1">
      <alignment vertical="center" wrapText="1"/>
    </xf>
    <xf numFmtId="49" fontId="0" fillId="6" borderId="2" xfId="0" applyNumberFormat="1" applyFill="1" applyBorder="1" applyAlignment="1">
      <alignment horizontal="center" vertical="center" wrapText="1"/>
    </xf>
    <xf numFmtId="0" fontId="0" fillId="6" borderId="2" xfId="0" applyFill="1" applyBorder="1" applyAlignment="1">
      <alignment horizontal="center" vertical="center"/>
    </xf>
    <xf numFmtId="0" fontId="0" fillId="6" borderId="5" xfId="0" applyFill="1" applyBorder="1" applyAlignment="1">
      <alignment horizontal="center" vertical="center"/>
    </xf>
    <xf numFmtId="0" fontId="0" fillId="6" borderId="2" xfId="0" applyFill="1" applyBorder="1" applyAlignment="1">
      <alignment vertical="center" wrapText="1"/>
    </xf>
    <xf numFmtId="0" fontId="12" fillId="8" borderId="2" xfId="2" applyFont="1" applyFill="1" applyBorder="1" applyAlignment="1">
      <alignment horizontal="center" vertical="center"/>
    </xf>
    <xf numFmtId="0" fontId="11" fillId="8" borderId="2" xfId="2" applyFill="1" applyBorder="1" applyAlignment="1">
      <alignment horizontal="center" vertical="center" wrapText="1"/>
    </xf>
    <xf numFmtId="0" fontId="11" fillId="0" borderId="2" xfId="2" applyBorder="1" applyAlignment="1">
      <alignment horizontal="center" vertical="center"/>
    </xf>
    <xf numFmtId="0" fontId="12" fillId="8" borderId="2" xfId="2" applyFont="1" applyFill="1" applyBorder="1" applyAlignment="1">
      <alignment horizontal="center" vertical="center" wrapText="1"/>
    </xf>
    <xf numFmtId="49" fontId="11" fillId="8" borderId="2" xfId="2" applyNumberFormat="1" applyFill="1" applyBorder="1" applyAlignment="1">
      <alignment horizontal="center" vertical="center" wrapText="1"/>
    </xf>
  </cellXfs>
  <cellStyles count="5">
    <cellStyle name="Hyperlink" xfId="1" xr:uid="{00000000-000B-0000-0000-000008000000}"/>
    <cellStyle name="Hyperlink 2" xfId="3" xr:uid="{5DFC4742-865E-4CA3-8D6A-DDD1299FBB33}"/>
    <cellStyle name="Normal" xfId="0" builtinId="0"/>
    <cellStyle name="Normal 2" xfId="2" xr:uid="{E72D5D9D-5C76-4DB9-8F07-3CBC114F628E}"/>
    <cellStyle name="Normal 3" xfId="4" xr:uid="{EE7CFE7F-3E6F-41C9-9FED-CDE2741E38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SUBSTITUTE(VLOOKUP(B41,VN_Emails!B:H,2,0),%22@mapactive.vn" TargetMode="External"/><Relationship Id="rId1" Type="http://schemas.openxmlformats.org/officeDocument/2006/relationships/hyperlink" Target="mailto:minh.letranthien@mapactive.vn%20%20resigned%20thy.nguyenhoanganh%20resigned%20chi%20Mai%20gi&#7919;%20m&#225;y"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dien.tranduy@mapactive.vn" TargetMode="External"/><Relationship Id="rId21" Type="http://schemas.openxmlformats.org/officeDocument/2006/relationships/hyperlink" Target="mailto:xuan.vothihoanganh@mapactive.vn" TargetMode="External"/><Relationship Id="rId34" Type="http://schemas.openxmlformats.org/officeDocument/2006/relationships/hyperlink" Target="mailto:mai.nguyenthihuynh@mapactive.vn" TargetMode="External"/><Relationship Id="rId42" Type="http://schemas.openxmlformats.org/officeDocument/2006/relationships/hyperlink" Target="mailto:mma.hotline@mapactive.vn" TargetMode="External"/><Relationship Id="rId47" Type="http://schemas.openxmlformats.org/officeDocument/2006/relationships/hyperlink" Target="mailto:mac.hotline@mapactive.kh" TargetMode="External"/><Relationship Id="rId50" Type="http://schemas.openxmlformats.org/officeDocument/2006/relationships/hyperlink" Target="mailto:chau.lehongbao@mapactive.vn" TargetMode="External"/><Relationship Id="rId55" Type="http://schemas.openxmlformats.org/officeDocument/2006/relationships/hyperlink" Target="mailto:tran.huynhkimngoc@mapactive.vn" TargetMode="External"/><Relationship Id="rId63" Type="http://schemas.openxmlformats.org/officeDocument/2006/relationships/hyperlink" Target="mailto:hai.nguyenthanh@mapactive.vn" TargetMode="External"/><Relationship Id="rId7" Type="http://schemas.openxmlformats.org/officeDocument/2006/relationships/hyperlink" Target="mailto:tuan.ngoanh@mapactive.vn" TargetMode="External"/><Relationship Id="rId2" Type="http://schemas.openxmlformats.org/officeDocument/2006/relationships/hyperlink" Target="mailto:them.quanthanh@mapactive.vn" TargetMode="External"/><Relationship Id="rId16" Type="http://schemas.openxmlformats.org/officeDocument/2006/relationships/hyperlink" Target="mailto:lan.nguyenphuong@mapactive.vn" TargetMode="External"/><Relationship Id="rId29" Type="http://schemas.openxmlformats.org/officeDocument/2006/relationships/hyperlink" Target="mailto:duyen.lethanh@mapactive.vn" TargetMode="External"/><Relationship Id="rId11" Type="http://schemas.openxmlformats.org/officeDocument/2006/relationships/hyperlink" Target="mailto:binh.ngotieu@mapactive.vn" TargetMode="External"/><Relationship Id="rId24" Type="http://schemas.openxmlformats.org/officeDocument/2006/relationships/hyperlink" Target="mailto:van.nghiemthihong@mapactive.vn" TargetMode="External"/><Relationship Id="rId32" Type="http://schemas.openxmlformats.org/officeDocument/2006/relationships/hyperlink" Target="mailto:footlocker.vietnam@mapactive.vn" TargetMode="External"/><Relationship Id="rId37" Type="http://schemas.openxmlformats.org/officeDocument/2006/relationships/hyperlink" Target="mailto:ngoc.ngo@mapactive.vn" TargetMode="External"/><Relationship Id="rId40" Type="http://schemas.openxmlformats.org/officeDocument/2006/relationships/hyperlink" Target="mailto:dat.volamminh@mapactive.vn" TargetMode="External"/><Relationship Id="rId45" Type="http://schemas.openxmlformats.org/officeDocument/2006/relationships/hyperlink" Target="mailto:anh.nguyensi@mapactive.vn" TargetMode="External"/><Relationship Id="rId53" Type="http://schemas.openxmlformats.org/officeDocument/2006/relationships/hyperlink" Target="mailto:binh.nguyenmy@mapactive.vn" TargetMode="External"/><Relationship Id="rId58" Type="http://schemas.openxmlformats.org/officeDocument/2006/relationships/hyperlink" Target="mailto:uyen.vuxuan@mapactive.vn" TargetMode="External"/><Relationship Id="rId5" Type="http://schemas.openxmlformats.org/officeDocument/2006/relationships/hyperlink" Target="mailto:linh.lecam@mapactive.vn" TargetMode="External"/><Relationship Id="rId61" Type="http://schemas.openxmlformats.org/officeDocument/2006/relationships/hyperlink" Target="mailto:nhung.nguyenthituyet@mapactive.vn" TargetMode="External"/><Relationship Id="rId19" Type="http://schemas.openxmlformats.org/officeDocument/2006/relationships/hyperlink" Target="mailto:mong.nguyenthithuy@mapactive.vn" TargetMode="External"/><Relationship Id="rId14" Type="http://schemas.openxmlformats.org/officeDocument/2006/relationships/hyperlink" Target="mailto:trinh.tranngocdoan@mapactive.vn" TargetMode="External"/><Relationship Id="rId22" Type="http://schemas.openxmlformats.org/officeDocument/2006/relationships/hyperlink" Target="mailto:phung.tietnha@mapactive.vn" TargetMode="External"/><Relationship Id="rId27" Type="http://schemas.openxmlformats.org/officeDocument/2006/relationships/hyperlink" Target="mailto:thu.nguyenthanhanh@mapactive.vn" TargetMode="External"/><Relationship Id="rId30" Type="http://schemas.openxmlformats.org/officeDocument/2006/relationships/hyperlink" Target="mailto:ngoc.nguyenduyen@mapactive.vn" TargetMode="External"/><Relationship Id="rId35" Type="http://schemas.openxmlformats.org/officeDocument/2006/relationships/hyperlink" Target="mailto:thu.pham@mapactive.vn" TargetMode="External"/><Relationship Id="rId43" Type="http://schemas.openxmlformats.org/officeDocument/2006/relationships/hyperlink" Target="mailto:mac.hotline@mapactive.kh" TargetMode="External"/><Relationship Id="rId48" Type="http://schemas.openxmlformats.org/officeDocument/2006/relationships/hyperlink" Target="mailto:minh.vanduc@mapactive.vn" TargetMode="External"/><Relationship Id="rId56" Type="http://schemas.openxmlformats.org/officeDocument/2006/relationships/hyperlink" Target="mailto:du.nguyenbao@mapactive.vn" TargetMode="External"/><Relationship Id="rId64" Type="http://schemas.openxmlformats.org/officeDocument/2006/relationships/hyperlink" Target="mailto:Doan.An@mapactive.vn" TargetMode="External"/><Relationship Id="rId8" Type="http://schemas.openxmlformats.org/officeDocument/2006/relationships/hyperlink" Target="mailto:thang.nguyennam@mapactive.vn" TargetMode="External"/><Relationship Id="rId51" Type="http://schemas.openxmlformats.org/officeDocument/2006/relationships/hyperlink" Target="mailto:Ngoc.nguyenbao@mapactive.vn" TargetMode="External"/><Relationship Id="rId3" Type="http://schemas.openxmlformats.org/officeDocument/2006/relationships/hyperlink" Target="mailto:nghia.thoihuu@mapactive.vn" TargetMode="External"/><Relationship Id="rId12" Type="http://schemas.openxmlformats.org/officeDocument/2006/relationships/hyperlink" Target="mailto:duyen.nguyenngocxuan@mapactive.vn" TargetMode="External"/><Relationship Id="rId17" Type="http://schemas.openxmlformats.org/officeDocument/2006/relationships/hyperlink" Target="mailto:quan.luonghuu@mapactive.vn" TargetMode="External"/><Relationship Id="rId25" Type="http://schemas.openxmlformats.org/officeDocument/2006/relationships/hyperlink" Target="mailto:qui.nguyenthi@mapactive.vn" TargetMode="External"/><Relationship Id="rId33" Type="http://schemas.openxmlformats.org/officeDocument/2006/relationships/hyperlink" Target="mailto:HR.Recruitment@mapactive.vn" TargetMode="External"/><Relationship Id="rId38" Type="http://schemas.openxmlformats.org/officeDocument/2006/relationships/hyperlink" Target="mailto:nguyen.thieu@mapactive.vn" TargetMode="External"/><Relationship Id="rId46" Type="http://schemas.openxmlformats.org/officeDocument/2006/relationships/hyperlink" Target="mailto:mma.hotline@mapactive.vn" TargetMode="External"/><Relationship Id="rId59" Type="http://schemas.openxmlformats.org/officeDocument/2006/relationships/hyperlink" Target="mailto:trang.taquynh@mapactive.vn" TargetMode="External"/><Relationship Id="rId20" Type="http://schemas.openxmlformats.org/officeDocument/2006/relationships/hyperlink" Target="mailto:nhan.huynhtuan@mapactive.vn" TargetMode="External"/><Relationship Id="rId41" Type="http://schemas.openxmlformats.org/officeDocument/2006/relationships/hyperlink" Target="mailto:minh.lengocbao@mapactive.vn" TargetMode="External"/><Relationship Id="rId54" Type="http://schemas.openxmlformats.org/officeDocument/2006/relationships/hyperlink" Target="mailto:ngan.vongocthanh@mapactive.vn" TargetMode="External"/><Relationship Id="rId62" Type="http://schemas.openxmlformats.org/officeDocument/2006/relationships/hyperlink" Target="mailto:giang.trana@mapactive.vn" TargetMode="External"/><Relationship Id="rId1" Type="http://schemas.openxmlformats.org/officeDocument/2006/relationships/hyperlink" Target="mailto:van.luugiangcam@mapactive.vn" TargetMode="External"/><Relationship Id="rId6" Type="http://schemas.openxmlformats.org/officeDocument/2006/relationships/hyperlink" Target="mailto:tram.ngothibich@mapactive.vn" TargetMode="External"/><Relationship Id="rId15" Type="http://schemas.openxmlformats.org/officeDocument/2006/relationships/hyperlink" Target="mailto:nhi.tranthiyen@mapactive.vn" TargetMode="External"/><Relationship Id="rId23" Type="http://schemas.openxmlformats.org/officeDocument/2006/relationships/hyperlink" Target="mailto:uyen.nguyenhaphuong@mapactive.vn" TargetMode="External"/><Relationship Id="rId28" Type="http://schemas.openxmlformats.org/officeDocument/2006/relationships/hyperlink" Target="mailto:Huy.daoduc@mapactive.vn" TargetMode="External"/><Relationship Id="rId36" Type="http://schemas.openxmlformats.org/officeDocument/2006/relationships/hyperlink" Target="mailto:quan.vu@mapactive.vn" TargetMode="External"/><Relationship Id="rId49" Type="http://schemas.openxmlformats.org/officeDocument/2006/relationships/hyperlink" Target="mailto:nhung.nguyenthihong01@mapactive.vn" TargetMode="External"/><Relationship Id="rId57" Type="http://schemas.openxmlformats.org/officeDocument/2006/relationships/hyperlink" Target="mailto:dung.nguyenthiphuong@mapactive.vn" TargetMode="External"/><Relationship Id="rId10" Type="http://schemas.openxmlformats.org/officeDocument/2006/relationships/hyperlink" Target="mailto:thang.nguyenquyet@mapactive.vn" TargetMode="External"/><Relationship Id="rId31" Type="http://schemas.openxmlformats.org/officeDocument/2006/relationships/hyperlink" Target="mailto:mma.it@mapactive.vn" TargetMode="External"/><Relationship Id="rId44" Type="http://schemas.openxmlformats.org/officeDocument/2006/relationships/hyperlink" Target="mailto:chi.tranvukim@mapactive.vn" TargetMode="External"/><Relationship Id="rId52" Type="http://schemas.openxmlformats.org/officeDocument/2006/relationships/hyperlink" Target="mailto:thu.nguyenthiminh@mapactive.vn" TargetMode="External"/><Relationship Id="rId60" Type="http://schemas.openxmlformats.org/officeDocument/2006/relationships/hyperlink" Target="mailto:uyen.nguyenhaphuong@mapactive.vn" TargetMode="External"/><Relationship Id="rId65" Type="http://schemas.openxmlformats.org/officeDocument/2006/relationships/printerSettings" Target="../printerSettings/printerSettings1.bin"/><Relationship Id="rId4" Type="http://schemas.openxmlformats.org/officeDocument/2006/relationships/hyperlink" Target="mailto:tuyen.vothuyminh@mapactive.vn" TargetMode="External"/><Relationship Id="rId9" Type="http://schemas.openxmlformats.org/officeDocument/2006/relationships/hyperlink" Target="mailto:danh.huynhmy@mapactive.vn" TargetMode="External"/><Relationship Id="rId13" Type="http://schemas.openxmlformats.org/officeDocument/2006/relationships/hyperlink" Target="mailto:anh.nguyenngoclan@mapactive.vn" TargetMode="External"/><Relationship Id="rId18" Type="http://schemas.openxmlformats.org/officeDocument/2006/relationships/hyperlink" Target="mailto:syed.umairhassan@mapactive.vn" TargetMode="External"/><Relationship Id="rId39" Type="http://schemas.openxmlformats.org/officeDocument/2006/relationships/hyperlink" Target="mailto:tram.lengocbich@mapactive.vn"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huong.tranquocthien@mapactive.vn" TargetMode="External"/><Relationship Id="rId18" Type="http://schemas.openxmlformats.org/officeDocument/2006/relationships/hyperlink" Target="mailto:alun.hughes@mapactive.vn" TargetMode="External"/><Relationship Id="rId26" Type="http://schemas.openxmlformats.org/officeDocument/2006/relationships/hyperlink" Target="mailto:son.vuxuan@mapactive.vn" TargetMode="External"/><Relationship Id="rId39" Type="http://schemas.openxmlformats.org/officeDocument/2006/relationships/hyperlink" Target="mailto:luong.lactuan@mapactive.vn" TargetMode="External"/><Relationship Id="rId21" Type="http://schemas.openxmlformats.org/officeDocument/2006/relationships/hyperlink" Target="mailto:quynh.phungnhu@mapactive.vn" TargetMode="External"/><Relationship Id="rId34" Type="http://schemas.openxmlformats.org/officeDocument/2006/relationships/hyperlink" Target="mailto:nhung.nguyenthituyet@mapactive.vn" TargetMode="External"/><Relationship Id="rId42" Type="http://schemas.openxmlformats.org/officeDocument/2006/relationships/hyperlink" Target="mailto:thy.nguyenhoanganh@mapactive.vn" TargetMode="External"/><Relationship Id="rId47" Type="http://schemas.openxmlformats.org/officeDocument/2006/relationships/hyperlink" Target="mailto:trang.khongthithuy@mapactive.vn" TargetMode="External"/><Relationship Id="rId50" Type="http://schemas.openxmlformats.org/officeDocument/2006/relationships/hyperlink" Target="mailto:Hong.lethikim@mapactive.vn" TargetMode="External"/><Relationship Id="rId55" Type="http://schemas.openxmlformats.org/officeDocument/2006/relationships/hyperlink" Target="mailto:hien.lethithu@mapactive.vn" TargetMode="External"/><Relationship Id="rId7" Type="http://schemas.openxmlformats.org/officeDocument/2006/relationships/hyperlink" Target="mailto:duong.nguyenthihai@mapactive.vn" TargetMode="External"/><Relationship Id="rId2" Type="http://schemas.openxmlformats.org/officeDocument/2006/relationships/hyperlink" Target="mailto:ngoc.voleminh@mapactive.vn" TargetMode="External"/><Relationship Id="rId16" Type="http://schemas.openxmlformats.org/officeDocument/2006/relationships/hyperlink" Target="mailto:quynh.tranthilam@mapactive.vn" TargetMode="External"/><Relationship Id="rId29" Type="http://schemas.openxmlformats.org/officeDocument/2006/relationships/hyperlink" Target="mailto:hoa.mailecam@mapactive.vn" TargetMode="External"/><Relationship Id="rId11" Type="http://schemas.openxmlformats.org/officeDocument/2006/relationships/hyperlink" Target="mailto:tri.dangquoc@mapactive.vn" TargetMode="External"/><Relationship Id="rId24" Type="http://schemas.openxmlformats.org/officeDocument/2006/relationships/hyperlink" Target="mailto:hau.lenguyentrung@mapactive.vn" TargetMode="External"/><Relationship Id="rId32" Type="http://schemas.openxmlformats.org/officeDocument/2006/relationships/hyperlink" Target="mailto:hien.nguyendo@mapactive.vn" TargetMode="External"/><Relationship Id="rId37" Type="http://schemas.openxmlformats.org/officeDocument/2006/relationships/hyperlink" Target="mailto:trang.huynhthimy@mapactive.vn" TargetMode="External"/><Relationship Id="rId40" Type="http://schemas.openxmlformats.org/officeDocument/2006/relationships/hyperlink" Target="mailto:tram.nguyenthibich@mapactive.vn" TargetMode="External"/><Relationship Id="rId45" Type="http://schemas.openxmlformats.org/officeDocument/2006/relationships/hyperlink" Target="mailto:duy.lehuynh@mapactive.vn" TargetMode="External"/><Relationship Id="rId53" Type="http://schemas.openxmlformats.org/officeDocument/2006/relationships/hyperlink" Target="mailto:darryl.peacock@mapactive.vn" TargetMode="External"/><Relationship Id="rId58" Type="http://schemas.openxmlformats.org/officeDocument/2006/relationships/hyperlink" Target="mailto:bao.nguyenthanh@mapactive.vn" TargetMode="External"/><Relationship Id="rId5" Type="http://schemas.openxmlformats.org/officeDocument/2006/relationships/hyperlink" Target="mailto:do.nguyentri@mapactive.vn" TargetMode="External"/><Relationship Id="rId19" Type="http://schemas.openxmlformats.org/officeDocument/2006/relationships/hyperlink" Target="mailto:dung.phamthimy@mapactive.vn" TargetMode="External"/><Relationship Id="rId4" Type="http://schemas.openxmlformats.org/officeDocument/2006/relationships/hyperlink" Target="mailto:nhung.nguyenhong@mapactive.vn" TargetMode="External"/><Relationship Id="rId9" Type="http://schemas.openxmlformats.org/officeDocument/2006/relationships/hyperlink" Target="mailto:giang.nguyenthiquynh@map.co.id" TargetMode="External"/><Relationship Id="rId14" Type="http://schemas.openxmlformats.org/officeDocument/2006/relationships/hyperlink" Target="mailto:tien.phanthithuy@mapactive.vn" TargetMode="External"/><Relationship Id="rId22" Type="http://schemas.openxmlformats.org/officeDocument/2006/relationships/hyperlink" Target="mailto:ha.dangthivan@mapactive.vn" TargetMode="External"/><Relationship Id="rId27" Type="http://schemas.openxmlformats.org/officeDocument/2006/relationships/hyperlink" Target="mailto:ngan.huynhthibich@mpactive.vn" TargetMode="External"/><Relationship Id="rId30" Type="http://schemas.openxmlformats.org/officeDocument/2006/relationships/hyperlink" Target="mailto:linh.thainhat@mapactive.vn" TargetMode="External"/><Relationship Id="rId35" Type="http://schemas.openxmlformats.org/officeDocument/2006/relationships/hyperlink" Target="mailto:Tuyet.tranthikim@mapactive.vn" TargetMode="External"/><Relationship Id="rId43" Type="http://schemas.openxmlformats.org/officeDocument/2006/relationships/hyperlink" Target="mailto:my.nguyenthao@mapactive.vn" TargetMode="External"/><Relationship Id="rId48" Type="http://schemas.openxmlformats.org/officeDocument/2006/relationships/hyperlink" Target="mailto:nam.vonguyenhoang@mapactive.vn" TargetMode="External"/><Relationship Id="rId56" Type="http://schemas.openxmlformats.org/officeDocument/2006/relationships/hyperlink" Target="mailto:linh.hoangdieu@mapactive.vn" TargetMode="External"/><Relationship Id="rId8" Type="http://schemas.openxmlformats.org/officeDocument/2006/relationships/hyperlink" Target="mailto:thuy.dangtranthu@mapactive.vn" TargetMode="External"/><Relationship Id="rId51" Type="http://schemas.openxmlformats.org/officeDocument/2006/relationships/hyperlink" Target="mailto:coe.vn@mapactive.vn" TargetMode="External"/><Relationship Id="rId3" Type="http://schemas.openxmlformats.org/officeDocument/2006/relationships/hyperlink" Target="mailto:trung.lehominh@mapactive.vn" TargetMode="External"/><Relationship Id="rId12" Type="http://schemas.openxmlformats.org/officeDocument/2006/relationships/hyperlink" Target="mailto:hoang.phanbao@mapactive.vn" TargetMode="External"/><Relationship Id="rId17" Type="http://schemas.openxmlformats.org/officeDocument/2006/relationships/hyperlink" Target="mailto:khoa.trandanganh@mapactive.vn" TargetMode="External"/><Relationship Id="rId25" Type="http://schemas.openxmlformats.org/officeDocument/2006/relationships/hyperlink" Target="mailto:nghia.letrong@mapactive.vn" TargetMode="External"/><Relationship Id="rId33" Type="http://schemas.openxmlformats.org/officeDocument/2006/relationships/hyperlink" Target="mailto:huan.lenam@mapactive.vn" TargetMode="External"/><Relationship Id="rId38" Type="http://schemas.openxmlformats.org/officeDocument/2006/relationships/hyperlink" Target="mailto:dung.huynhkim@mapactive.vn" TargetMode="External"/><Relationship Id="rId46" Type="http://schemas.openxmlformats.org/officeDocument/2006/relationships/hyperlink" Target="mailto:tam.minh@mapactive.vn" TargetMode="External"/><Relationship Id="rId59" Type="http://schemas.openxmlformats.org/officeDocument/2006/relationships/hyperlink" Target="mailto:thai.huynhquang@map.co.id" TargetMode="External"/><Relationship Id="rId20" Type="http://schemas.openxmlformats.org/officeDocument/2006/relationships/hyperlink" Target="mailto:dang.hohai@mapactive.vn" TargetMode="External"/><Relationship Id="rId41" Type="http://schemas.openxmlformats.org/officeDocument/2006/relationships/hyperlink" Target="mailto:vy.huynhnguyenlan@mapactive.vn" TargetMode="External"/><Relationship Id="rId54" Type="http://schemas.openxmlformats.org/officeDocument/2006/relationships/hyperlink" Target="mailto:minh.vuba@mapactive.vn" TargetMode="External"/><Relationship Id="rId1" Type="http://schemas.openxmlformats.org/officeDocument/2006/relationships/hyperlink" Target="mailto:loan.lethikim@mapactive.vn" TargetMode="External"/><Relationship Id="rId6" Type="http://schemas.openxmlformats.org/officeDocument/2006/relationships/hyperlink" Target="mailto:tram.nguyhuynhmai@mapactive.vn" TargetMode="External"/><Relationship Id="rId15" Type="http://schemas.openxmlformats.org/officeDocument/2006/relationships/hyperlink" Target="mailto:vothea.iem@map.co.id" TargetMode="External"/><Relationship Id="rId23" Type="http://schemas.openxmlformats.org/officeDocument/2006/relationships/hyperlink" Target="mailto:hieu.nguyenvutrung@mapactive.vn" TargetMode="External"/><Relationship Id="rId28" Type="http://schemas.openxmlformats.org/officeDocument/2006/relationships/hyperlink" Target="mailto:tra.truongvantin@mapactive.vn" TargetMode="External"/><Relationship Id="rId36" Type="http://schemas.openxmlformats.org/officeDocument/2006/relationships/hyperlink" Target="mailto:uyen.vuthuy@mapactive.vn" TargetMode="External"/><Relationship Id="rId49" Type="http://schemas.openxmlformats.org/officeDocument/2006/relationships/hyperlink" Target="mailto:khen.hoanghong@mapactive.vn" TargetMode="External"/><Relationship Id="rId57" Type="http://schemas.openxmlformats.org/officeDocument/2006/relationships/hyperlink" Target="mailto:my.nguyenthituyet@mapactive.vn" TargetMode="External"/><Relationship Id="rId10" Type="http://schemas.openxmlformats.org/officeDocument/2006/relationships/hyperlink" Target="mailto:hieu.trantrung@mapactive.vn" TargetMode="External"/><Relationship Id="rId31" Type="http://schemas.openxmlformats.org/officeDocument/2006/relationships/hyperlink" Target="mailto:loan.nguyenhoang@mapactive.vn" TargetMode="External"/><Relationship Id="rId44" Type="http://schemas.openxmlformats.org/officeDocument/2006/relationships/hyperlink" Target="mailto:an.nguyenhuu@mapactive.vn" TargetMode="External"/><Relationship Id="rId52" Type="http://schemas.openxmlformats.org/officeDocument/2006/relationships/hyperlink" Target="mailto:tam.minh@mapactive.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287B-3992-47F2-86D1-2A871106319D}">
  <dimension ref="A1:H10"/>
  <sheetViews>
    <sheetView workbookViewId="0">
      <selection activeCell="C6" sqref="C6"/>
    </sheetView>
  </sheetViews>
  <sheetFormatPr defaultColWidth="8.77734375" defaultRowHeight="14.4"/>
  <cols>
    <col min="1" max="1" width="6.21875" style="90" customWidth="1"/>
    <col min="2" max="2" width="44.33203125" style="85" customWidth="1"/>
    <col min="3" max="3" width="5.88671875" style="90" customWidth="1"/>
    <col min="4" max="4" width="11.77734375" style="85" customWidth="1"/>
    <col min="5" max="5" width="8.77734375" style="85"/>
    <col min="6" max="6" width="19.109375" style="85" customWidth="1"/>
    <col min="7" max="7" width="8.77734375" style="85"/>
    <col min="8" max="8" width="17.21875" style="85" customWidth="1"/>
    <col min="9" max="16384" width="8.77734375" style="85"/>
  </cols>
  <sheetData>
    <row r="1" spans="1:8" s="90" customFormat="1" ht="28.8">
      <c r="A1" s="91" t="s">
        <v>0</v>
      </c>
      <c r="B1" s="91" t="s">
        <v>1</v>
      </c>
      <c r="C1" s="91" t="s">
        <v>2</v>
      </c>
      <c r="D1" s="91" t="s">
        <v>3</v>
      </c>
      <c r="E1" s="133" t="s">
        <v>4</v>
      </c>
      <c r="F1" s="134" t="s">
        <v>5</v>
      </c>
      <c r="G1" s="133" t="s">
        <v>6</v>
      </c>
      <c r="H1" s="134" t="s">
        <v>7</v>
      </c>
    </row>
    <row r="2" spans="1:8" ht="15" customHeight="1">
      <c r="A2" s="92">
        <v>1</v>
      </c>
      <c r="B2" s="135" t="s">
        <v>8</v>
      </c>
      <c r="C2" s="136" t="e">
        <f>COUNTIFS(#REF!,"Open",#REF!,"Store") + COUNTIFS(#REF!,"Open",#REF!,"Multi PC") + COUNTIFS(#REF!,"Open",#REF!,"Mono") + COUNTIFS(#REF!,"Open",#REF!,"SIS")</f>
        <v>#REF!</v>
      </c>
      <c r="D2" s="93"/>
      <c r="E2" s="136" t="e">
        <f xml:space="preserve"> COUNTIFS(#REF!,"Open",#REF!,"Store",#REF!,"Ho Chi Minh City") + COUNTIFS(#REF!,"Open",#REF!,"Mono",#REF!,"Ho Chi Minh City") + COUNTIFS(#REF!,"Open",#REF!,"SIS",#REF!,"Ho Chi Minh City")</f>
        <v>#REF!</v>
      </c>
      <c r="F2" s="136" t="e">
        <f xml:space="preserve"> (COUNTIFS(#REF!,"Open",#REF!,"Store",#REF!,"South") + COUNTIFS(#REF!,"Open",#REF!,"Mono",#REF!,"South") + COUNTIFS(#REF!,"Open",#REF!,"SIS",#REF!,"South"))-E2</f>
        <v>#REF!</v>
      </c>
      <c r="G2" s="136" t="e">
        <f xml:space="preserve"> COUNTIFS(#REF!,"Open",#REF!,"Store",#REF!,"Ha Noi") + COUNTIFS(#REF!,"Open",#REF!,"Mono",#REF!,"Ha Noi") + COUNTIFS(#REF!,"Open",#REF!,"SIS",#REF!,"Ha Noi")</f>
        <v>#REF!</v>
      </c>
      <c r="H2" s="136" t="e">
        <f xml:space="preserve"> (COUNTIFS(#REF!,"Open",#REF!,"Store",#REF!,"North") + COUNTIFS(#REF!,"Open",#REF!,"Mono",#REF!,"North") + COUNTIFS(#REF!,"Open",#REF!,"SIS",#REF!,"North"))-G2</f>
        <v>#REF!</v>
      </c>
    </row>
    <row r="3" spans="1:8">
      <c r="A3" s="92">
        <f t="shared" ref="A3:A9" si="0">A2+1</f>
        <v>2</v>
      </c>
      <c r="B3" s="93" t="s">
        <v>9</v>
      </c>
      <c r="C3" s="136" t="e">
        <f>COUNTIFS(#REF!,"Open",#REF!,"Bazaar")</f>
        <v>#REF!</v>
      </c>
      <c r="D3" s="93"/>
    </row>
    <row r="4" spans="1:8">
      <c r="A4" s="92">
        <f t="shared" si="0"/>
        <v>3</v>
      </c>
      <c r="B4" s="93" t="s">
        <v>10</v>
      </c>
      <c r="C4" s="136" t="e" cm="1">
        <f t="array" ref="C4">SUM(COUNTIFS(#REF!,"Open",#REF!,{"EVENT","PRIVATE SALE"}))</f>
        <v>#REF!</v>
      </c>
      <c r="D4" s="93"/>
    </row>
    <row r="5" spans="1:8">
      <c r="A5" s="92">
        <f t="shared" si="0"/>
        <v>4</v>
      </c>
      <c r="B5" s="93" t="s">
        <v>11</v>
      </c>
      <c r="C5" s="136" t="e">
        <f>SUM(C2:C4)</f>
        <v>#REF!</v>
      </c>
      <c r="D5" s="93"/>
    </row>
    <row r="6" spans="1:8">
      <c r="A6" s="88">
        <f t="shared" si="0"/>
        <v>5</v>
      </c>
      <c r="B6" s="89" t="s">
        <v>12</v>
      </c>
      <c r="C6" s="136" t="e">
        <f>COUNTIFS(#REF!,"Open",#REF!,"Need to deploy (FG-40F)")</f>
        <v>#REF!</v>
      </c>
      <c r="D6" s="89"/>
    </row>
    <row r="7" spans="1:8">
      <c r="A7" s="86">
        <f t="shared" si="0"/>
        <v>6</v>
      </c>
      <c r="B7" s="87" t="s">
        <v>13</v>
      </c>
      <c r="C7" s="136" t="e">
        <f>COUNTIFS(#REF!,"Need to deploy (FG-60F)")</f>
        <v>#REF!</v>
      </c>
      <c r="D7" s="87"/>
    </row>
    <row r="8" spans="1:8">
      <c r="A8" s="86">
        <f t="shared" si="0"/>
        <v>7</v>
      </c>
      <c r="B8" s="87" t="s">
        <v>14</v>
      </c>
      <c r="C8" s="136" t="e">
        <f>COUNTIFS(#REF!,"Open",#REF!,"Store") + COUNTIFS(#REF!,"Open",#REF!,"Mono")</f>
        <v>#REF!</v>
      </c>
      <c r="D8" s="87"/>
    </row>
    <row r="9" spans="1:8">
      <c r="A9" s="113">
        <f t="shared" si="0"/>
        <v>8</v>
      </c>
      <c r="B9" s="114" t="s">
        <v>15</v>
      </c>
      <c r="C9" s="137" t="e">
        <f>COUNTIFS(#REF!,"Open",#REF!,"Store") + COUNTIFS(#REF!,"Open",#REF!,"SIS")</f>
        <v>#REF!</v>
      </c>
      <c r="D9" s="114"/>
    </row>
    <row r="10" spans="1:8">
      <c r="A10" s="112">
        <f>A9+1</f>
        <v>9</v>
      </c>
      <c r="B10" s="87" t="s">
        <v>16</v>
      </c>
      <c r="C10" s="115" t="e">
        <f>COUNTIFS(#REF!,"Open",#REF!,"Yes")</f>
        <v>#REF!</v>
      </c>
      <c r="D10" s="8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A9BD-157D-4407-B1A5-F80A7D4EF36E}">
  <sheetPr filterMode="1"/>
  <dimension ref="A1:AT111"/>
  <sheetViews>
    <sheetView showGridLines="0" tabSelected="1" topLeftCell="B1" workbookViewId="0">
      <pane xSplit="8" ySplit="1" topLeftCell="Q36" activePane="bottomRight" state="frozen"/>
      <selection pane="topRight" activeCell="G1" sqref="G1"/>
      <selection pane="bottomLeft" activeCell="A2" sqref="A2"/>
      <selection pane="bottomRight" activeCell="I37" sqref="I37"/>
    </sheetView>
  </sheetViews>
  <sheetFormatPr defaultColWidth="9" defaultRowHeight="15" customHeight="1"/>
  <cols>
    <col min="1" max="1" width="8" style="9" customWidth="1"/>
    <col min="2" max="2" width="19" style="16" customWidth="1"/>
    <col min="3" max="3" width="13.6640625" style="9" customWidth="1"/>
    <col min="4" max="4" width="28.21875" style="9" customWidth="1"/>
    <col min="5" max="5" width="16.6640625" style="9" customWidth="1"/>
    <col min="6" max="6" width="21.6640625" style="9" customWidth="1"/>
    <col min="7" max="7" width="22.21875" style="10" bestFit="1" customWidth="1"/>
    <col min="8" max="8" width="12.6640625" style="9" customWidth="1"/>
    <col min="9" max="9" width="22" style="10" customWidth="1"/>
    <col min="10" max="10" width="12" style="10" customWidth="1"/>
    <col min="11" max="11" width="8.6640625" style="10" customWidth="1"/>
    <col min="12" max="12" width="9.44140625" style="10" customWidth="1"/>
    <col min="13" max="13" width="14.33203125" style="10" customWidth="1"/>
    <col min="14" max="15" width="13.33203125" style="10" customWidth="1"/>
    <col min="16" max="16" width="32.88671875" style="9" customWidth="1"/>
    <col min="17" max="17" width="29" style="10" customWidth="1"/>
    <col min="18" max="18" width="16.109375" style="9" customWidth="1"/>
    <col min="19" max="19" width="32.21875" style="9" customWidth="1"/>
    <col min="20" max="20" width="36.33203125" style="9" customWidth="1"/>
    <col min="21" max="21" width="36.44140625" style="9" customWidth="1"/>
    <col min="22" max="22" width="36.6640625" style="21" customWidth="1"/>
    <col min="23" max="23" width="27.44140625" style="109" customWidth="1"/>
    <col min="24" max="24" width="27.44140625" style="9" customWidth="1"/>
    <col min="25" max="26" width="13.6640625" style="9" customWidth="1"/>
    <col min="27" max="27" width="9.21875" style="9"/>
    <col min="28" max="28" width="13.88671875" style="9" customWidth="1"/>
    <col min="29" max="29" width="9.21875" style="9"/>
    <col min="30" max="30" width="15.44140625" style="9" customWidth="1"/>
    <col min="31" max="16384" width="9" style="9"/>
  </cols>
  <sheetData>
    <row r="1" spans="1:46" s="10" customFormat="1" ht="39.75" customHeight="1">
      <c r="A1" s="243" t="s">
        <v>0</v>
      </c>
      <c r="B1" s="214" t="s">
        <v>17</v>
      </c>
      <c r="C1" s="243" t="s">
        <v>18</v>
      </c>
      <c r="D1" s="243" t="s">
        <v>19</v>
      </c>
      <c r="E1" s="243" t="s">
        <v>20</v>
      </c>
      <c r="F1" s="243" t="s">
        <v>35</v>
      </c>
      <c r="G1" s="243" t="s">
        <v>66</v>
      </c>
      <c r="H1" s="255" t="s">
        <v>21</v>
      </c>
      <c r="I1" s="243" t="s">
        <v>67</v>
      </c>
      <c r="J1" s="243" t="s">
        <v>22</v>
      </c>
      <c r="K1" s="243" t="s">
        <v>23</v>
      </c>
      <c r="L1" s="243" t="s">
        <v>24</v>
      </c>
      <c r="M1" s="243" t="s">
        <v>25</v>
      </c>
      <c r="N1" s="243" t="s">
        <v>26</v>
      </c>
      <c r="O1" s="243" t="s">
        <v>27</v>
      </c>
      <c r="P1" s="243" t="s">
        <v>28</v>
      </c>
      <c r="Q1" s="243" t="s">
        <v>29</v>
      </c>
      <c r="R1" s="243" t="s">
        <v>30</v>
      </c>
      <c r="S1" s="243" t="s">
        <v>31</v>
      </c>
      <c r="T1" s="243" t="s">
        <v>32</v>
      </c>
      <c r="U1" s="54"/>
      <c r="V1" s="59" t="s">
        <v>33</v>
      </c>
      <c r="W1" s="59" t="s">
        <v>68</v>
      </c>
      <c r="X1" s="54" t="s">
        <v>34</v>
      </c>
      <c r="Y1" s="58" t="s">
        <v>36</v>
      </c>
      <c r="Z1" s="138" t="s">
        <v>69</v>
      </c>
      <c r="AA1" s="58" t="s">
        <v>37</v>
      </c>
      <c r="AB1" s="102" t="s">
        <v>38</v>
      </c>
      <c r="AC1" s="58" t="s">
        <v>70</v>
      </c>
    </row>
    <row r="2" spans="1:46" s="16" customFormat="1" ht="45.75" customHeight="1">
      <c r="A2" s="243">
        <v>1</v>
      </c>
      <c r="B2" s="214" t="s">
        <v>71</v>
      </c>
      <c r="C2" s="243" t="s">
        <v>44</v>
      </c>
      <c r="D2" s="256" t="str">
        <f>VLOOKUP(B2,VN_Emails!B:H,4,0)</f>
        <v>Tiet Nha Phung</v>
      </c>
      <c r="E2" s="256" t="str">
        <f>VLOOKUP(B2,VN_Emails!B:H,7,0)</f>
        <v>Brand Manager (Converse)</v>
      </c>
      <c r="F2" s="257" t="s">
        <v>72</v>
      </c>
      <c r="G2" s="258" t="str">
        <f>SUBSTITUTE(VLOOKUP(B2,VN_Emails!B:H,2,0),"@mapactive.vn","")</f>
        <v>phung.tietnha</v>
      </c>
      <c r="H2" s="259" t="s">
        <v>73</v>
      </c>
      <c r="I2" s="243" t="str">
        <f t="shared" ref="I2:I33" si="0">J2&amp;" "&amp;K2&amp;" "&amp;L2</f>
        <v>Laptop HP Latitude 7420</v>
      </c>
      <c r="J2" s="243" t="s">
        <v>48</v>
      </c>
      <c r="K2" s="243" t="s">
        <v>41</v>
      </c>
      <c r="L2" s="243" t="s">
        <v>74</v>
      </c>
      <c r="M2" s="243" t="s">
        <v>75</v>
      </c>
      <c r="N2" s="243">
        <v>16</v>
      </c>
      <c r="O2" s="243">
        <v>512</v>
      </c>
      <c r="P2" s="243" t="s">
        <v>47</v>
      </c>
      <c r="Q2" s="243" t="s">
        <v>76</v>
      </c>
      <c r="R2" s="243"/>
      <c r="S2" s="243"/>
      <c r="T2" s="243"/>
      <c r="U2" s="12"/>
      <c r="V2" s="18"/>
      <c r="W2" s="103"/>
      <c r="X2" s="55" t="s">
        <v>77</v>
      </c>
      <c r="Y2" s="1" t="s">
        <v>43</v>
      </c>
      <c r="Z2" s="1" t="s">
        <v>43</v>
      </c>
      <c r="AA2" s="1" t="s">
        <v>43</v>
      </c>
      <c r="AB2" s="99" t="s">
        <v>43</v>
      </c>
      <c r="AC2" s="15" t="s">
        <v>78</v>
      </c>
    </row>
    <row r="3" spans="1:46" s="16" customFormat="1" ht="28.8">
      <c r="A3" s="243">
        <f t="shared" ref="A3:A38" si="1">A2+1</f>
        <v>2</v>
      </c>
      <c r="B3" s="214" t="s">
        <v>79</v>
      </c>
      <c r="C3" s="243" t="s">
        <v>44</v>
      </c>
      <c r="D3" s="256" t="str">
        <f>VLOOKUP(B3,VN_Emails!B:H,4,0)</f>
        <v>Doan Thien Ho An</v>
      </c>
      <c r="E3" s="256" t="str">
        <f>VLOOKUP(B3,VN_Emails!B:H,7,0)</f>
        <v>Digital Marketing Manager</v>
      </c>
      <c r="F3" s="257" t="s">
        <v>80</v>
      </c>
      <c r="G3" s="258" t="str">
        <f>SUBSTITUTE(VLOOKUP(B3,VN_Emails!B:H,2,0),"@mapactive.vn","")</f>
        <v>Doan.An</v>
      </c>
      <c r="H3" s="259" t="s">
        <v>73</v>
      </c>
      <c r="I3" s="243" t="str">
        <f t="shared" si="0"/>
        <v>Laptop Dell Latitude 7420</v>
      </c>
      <c r="J3" s="243" t="s">
        <v>48</v>
      </c>
      <c r="K3" s="243" t="s">
        <v>51</v>
      </c>
      <c r="L3" s="243" t="s">
        <v>74</v>
      </c>
      <c r="M3" s="243" t="s">
        <v>81</v>
      </c>
      <c r="N3" s="243">
        <v>16</v>
      </c>
      <c r="O3" s="243">
        <v>512</v>
      </c>
      <c r="P3" s="243" t="s">
        <v>47</v>
      </c>
      <c r="Q3" s="243" t="s">
        <v>76</v>
      </c>
      <c r="R3" s="243"/>
      <c r="S3" s="243"/>
      <c r="T3" s="243"/>
      <c r="U3" s="12"/>
      <c r="V3" s="18" t="s">
        <v>82</v>
      </c>
      <c r="W3" s="103"/>
      <c r="X3" s="55" t="s">
        <v>83</v>
      </c>
      <c r="Y3" s="12" t="s">
        <v>84</v>
      </c>
      <c r="Z3" s="1" t="s">
        <v>43</v>
      </c>
      <c r="AA3" s="1" t="s">
        <v>43</v>
      </c>
      <c r="AB3" s="99" t="s">
        <v>43</v>
      </c>
      <c r="AC3" s="15"/>
    </row>
    <row r="4" spans="1:46" ht="54" customHeight="1">
      <c r="A4" s="243">
        <f t="shared" si="1"/>
        <v>3</v>
      </c>
      <c r="B4" s="214" t="s">
        <v>85</v>
      </c>
      <c r="C4" s="243" t="s">
        <v>39</v>
      </c>
      <c r="D4" s="256" t="e">
        <f>VLOOKUP(B4,VN_Emails!B:H,4,0)</f>
        <v>#N/A</v>
      </c>
      <c r="E4" s="256" t="e">
        <f>VLOOKUP(B4,VN_Emails!B:H,7,0)</f>
        <v>#N/A</v>
      </c>
      <c r="F4" s="257" t="s">
        <v>86</v>
      </c>
      <c r="G4" s="258" t="e">
        <f>SUBSTITUTE(VLOOKUP(B4,VN_Emails!B:H,2,0),"@mapactive.vn","")</f>
        <v>#N/A</v>
      </c>
      <c r="H4" s="259" t="s">
        <v>73</v>
      </c>
      <c r="I4" s="243" t="str">
        <f t="shared" si="0"/>
        <v>Laptop Dell Latitude 5420</v>
      </c>
      <c r="J4" s="243" t="s">
        <v>48</v>
      </c>
      <c r="K4" s="243" t="s">
        <v>51</v>
      </c>
      <c r="L4" s="243" t="s">
        <v>87</v>
      </c>
      <c r="M4" s="243" t="s">
        <v>88</v>
      </c>
      <c r="N4" s="243">
        <v>16</v>
      </c>
      <c r="O4" s="243">
        <v>512</v>
      </c>
      <c r="P4" s="243" t="s">
        <v>47</v>
      </c>
      <c r="Q4" s="243" t="s">
        <v>63</v>
      </c>
      <c r="R4" s="243"/>
      <c r="S4" s="243"/>
      <c r="T4" s="243" t="s">
        <v>89</v>
      </c>
      <c r="U4" s="6"/>
      <c r="V4" s="19" t="s">
        <v>90</v>
      </c>
      <c r="W4" s="110" t="s">
        <v>91</v>
      </c>
      <c r="X4" s="1" t="s">
        <v>92</v>
      </c>
      <c r="Y4" s="1" t="s">
        <v>43</v>
      </c>
      <c r="Z4" s="1" t="s">
        <v>43</v>
      </c>
      <c r="AA4" s="1" t="s">
        <v>43</v>
      </c>
      <c r="AB4" s="99" t="s">
        <v>43</v>
      </c>
      <c r="AC4" s="11"/>
    </row>
    <row r="5" spans="1:46" ht="41.4">
      <c r="A5" s="214">
        <f t="shared" si="1"/>
        <v>4</v>
      </c>
      <c r="B5" s="214" t="s">
        <v>93</v>
      </c>
      <c r="C5" s="214" t="s">
        <v>44</v>
      </c>
      <c r="D5" s="260" t="str">
        <f>VLOOKUP(B5,VN_Emails!B:H,4,0)</f>
        <v>Nguyen Thi Thuy Mong</v>
      </c>
      <c r="E5" s="260" t="str">
        <f>VLOOKUP(B5,VN_Emails!B:H,7,0)</f>
        <v>Senior Brand Marketing Manager</v>
      </c>
      <c r="F5" s="257" t="s">
        <v>94</v>
      </c>
      <c r="G5" s="259" t="str">
        <f>SUBSTITUTE(VLOOKUP(B5,VN_Emails!B:H,2,0),"@mapactive.vn","")</f>
        <v>mong.nguyenthithuy</v>
      </c>
      <c r="H5" s="259" t="s">
        <v>73</v>
      </c>
      <c r="I5" s="214" t="str">
        <f t="shared" si="0"/>
        <v>Laptop Dell Latitude 5430</v>
      </c>
      <c r="J5" s="214" t="s">
        <v>48</v>
      </c>
      <c r="K5" s="214" t="s">
        <v>51</v>
      </c>
      <c r="L5" s="214" t="s">
        <v>95</v>
      </c>
      <c r="M5" s="243" t="s">
        <v>96</v>
      </c>
      <c r="N5" s="243">
        <v>8</v>
      </c>
      <c r="O5" s="214">
        <v>512</v>
      </c>
      <c r="P5" s="214" t="s">
        <v>47</v>
      </c>
      <c r="Q5" s="214" t="s">
        <v>49</v>
      </c>
      <c r="R5" s="243"/>
      <c r="S5" s="243"/>
      <c r="T5" s="243"/>
      <c r="U5" s="6"/>
      <c r="V5" s="19" t="s">
        <v>97</v>
      </c>
      <c r="W5" s="104"/>
      <c r="X5" s="1" t="s">
        <v>98</v>
      </c>
      <c r="Y5" s="1" t="s">
        <v>43</v>
      </c>
      <c r="Z5" s="1" t="s">
        <v>43</v>
      </c>
      <c r="AA5" s="1" t="s">
        <v>43</v>
      </c>
      <c r="AB5" s="99" t="s">
        <v>43</v>
      </c>
      <c r="AC5" s="11"/>
    </row>
    <row r="6" spans="1:46" ht="41.4">
      <c r="A6" s="214">
        <f t="shared" si="1"/>
        <v>5</v>
      </c>
      <c r="B6" s="214" t="s">
        <v>99</v>
      </c>
      <c r="C6" s="214" t="s">
        <v>44</v>
      </c>
      <c r="D6" s="260" t="str">
        <f>VLOOKUP(B6,VN_Emails!B:H,4,0)</f>
        <v>Le Hong Bao Chau</v>
      </c>
      <c r="E6" s="261" t="s">
        <v>100</v>
      </c>
      <c r="F6" s="257" t="s">
        <v>101</v>
      </c>
      <c r="G6" s="262"/>
      <c r="H6" s="259" t="s">
        <v>73</v>
      </c>
      <c r="I6" s="214" t="str">
        <f t="shared" si="0"/>
        <v>Laptop Dell Latitude 3520</v>
      </c>
      <c r="J6" s="214" t="s">
        <v>48</v>
      </c>
      <c r="K6" s="214" t="s">
        <v>51</v>
      </c>
      <c r="L6" s="214" t="s">
        <v>50</v>
      </c>
      <c r="M6" s="243" t="s">
        <v>102</v>
      </c>
      <c r="N6" s="243">
        <v>8</v>
      </c>
      <c r="O6" s="243">
        <v>256</v>
      </c>
      <c r="P6" s="214" t="s">
        <v>47</v>
      </c>
      <c r="Q6" s="214" t="s">
        <v>63</v>
      </c>
      <c r="R6" s="243"/>
      <c r="S6" s="243"/>
      <c r="T6" s="243"/>
      <c r="U6" s="6"/>
      <c r="V6" s="19" t="s">
        <v>103</v>
      </c>
      <c r="W6" s="104"/>
      <c r="X6" s="129" t="s">
        <v>101</v>
      </c>
      <c r="Y6" s="1" t="s">
        <v>43</v>
      </c>
      <c r="Z6" s="1" t="s">
        <v>43</v>
      </c>
      <c r="AA6" s="1" t="s">
        <v>43</v>
      </c>
      <c r="AB6" s="99" t="s">
        <v>43</v>
      </c>
      <c r="AC6" s="11"/>
    </row>
    <row r="7" spans="1:46" s="16" customFormat="1" ht="27.6">
      <c r="A7" s="243">
        <f t="shared" si="1"/>
        <v>6</v>
      </c>
      <c r="B7" s="214" t="s">
        <v>104</v>
      </c>
      <c r="C7" s="243" t="s">
        <v>44</v>
      </c>
      <c r="D7" s="256" t="str">
        <f>VLOOKUP(B7,VN_Emails!B:H,4,0)</f>
        <v>Van Huynh Tu Trinh</v>
      </c>
      <c r="E7" s="256" t="str">
        <f>VLOOKUP(B7,VN_Emails!B:H,7,0)</f>
        <v>Receivable Accountant</v>
      </c>
      <c r="F7" s="263" t="s">
        <v>105</v>
      </c>
      <c r="G7" s="258" t="str">
        <f>SUBSTITUTE(VLOOKUP(B7,VN_Emails!B:H,2,0),"@mapactive.vn","")</f>
        <v>trinh.vanhuynhtu</v>
      </c>
      <c r="H7" s="259" t="s">
        <v>73</v>
      </c>
      <c r="I7" s="243" t="str">
        <f t="shared" si="0"/>
        <v>Laptop Dell Latitude 3420</v>
      </c>
      <c r="J7" s="243" t="s">
        <v>48</v>
      </c>
      <c r="K7" s="243" t="s">
        <v>51</v>
      </c>
      <c r="L7" s="243" t="s">
        <v>106</v>
      </c>
      <c r="M7" s="243" t="s">
        <v>107</v>
      </c>
      <c r="N7" s="243">
        <v>16</v>
      </c>
      <c r="O7" s="243">
        <v>512</v>
      </c>
      <c r="P7" s="243" t="s">
        <v>47</v>
      </c>
      <c r="Q7" s="243" t="s">
        <v>63</v>
      </c>
      <c r="R7" s="243"/>
      <c r="S7" s="243"/>
      <c r="T7" s="243"/>
      <c r="U7" s="12"/>
      <c r="V7" s="18"/>
      <c r="W7" s="103"/>
      <c r="X7" s="55" t="s">
        <v>108</v>
      </c>
      <c r="Y7" s="1" t="s">
        <v>43</v>
      </c>
      <c r="Z7" s="1" t="s">
        <v>43</v>
      </c>
      <c r="AA7" s="1" t="s">
        <v>43</v>
      </c>
      <c r="AB7" s="99" t="s">
        <v>43</v>
      </c>
      <c r="AC7" s="15"/>
    </row>
    <row r="8" spans="1:46" ht="27.6">
      <c r="A8" s="214">
        <f t="shared" si="1"/>
        <v>7</v>
      </c>
      <c r="B8" s="214" t="s">
        <v>109</v>
      </c>
      <c r="C8" s="214" t="s">
        <v>39</v>
      </c>
      <c r="D8" s="260" t="e">
        <f>VLOOKUP(B8,VN_Emails!B:H,4,0)</f>
        <v>#N/A</v>
      </c>
      <c r="E8" s="260" t="e">
        <f>VLOOKUP(B8,VN_Emails!B:H,7,0)</f>
        <v>#N/A</v>
      </c>
      <c r="F8" s="264" t="s">
        <v>110</v>
      </c>
      <c r="G8" s="259" t="e">
        <f>SUBSTITUTE(VLOOKUP(B8,VN_Emails!B:H,2,0),"@mapactive.vn","")</f>
        <v>#N/A</v>
      </c>
      <c r="H8" s="259" t="s">
        <v>73</v>
      </c>
      <c r="I8" s="214" t="str">
        <f t="shared" si="0"/>
        <v>Laptop Dell Latitude 3520</v>
      </c>
      <c r="J8" s="214" t="s">
        <v>48</v>
      </c>
      <c r="K8" s="214" t="s">
        <v>51</v>
      </c>
      <c r="L8" s="214" t="s">
        <v>50</v>
      </c>
      <c r="M8" s="243" t="s">
        <v>111</v>
      </c>
      <c r="N8" s="243">
        <v>8</v>
      </c>
      <c r="O8" s="214">
        <v>512</v>
      </c>
      <c r="P8" s="214" t="s">
        <v>47</v>
      </c>
      <c r="Q8" s="214" t="s">
        <v>112</v>
      </c>
      <c r="R8" s="265"/>
      <c r="S8" s="265"/>
      <c r="T8" s="265"/>
      <c r="U8" s="13"/>
      <c r="V8" s="18"/>
      <c r="W8" s="105" t="s">
        <v>91</v>
      </c>
      <c r="X8" s="1" t="s">
        <v>113</v>
      </c>
      <c r="Y8" s="1" t="s">
        <v>43</v>
      </c>
      <c r="Z8" s="1" t="s">
        <v>43</v>
      </c>
      <c r="AA8" s="1" t="s">
        <v>43</v>
      </c>
      <c r="AB8" s="99" t="s">
        <v>43</v>
      </c>
      <c r="AC8" s="15"/>
      <c r="AD8" s="16"/>
      <c r="AE8" s="16"/>
      <c r="AF8" s="16"/>
      <c r="AG8" s="16"/>
      <c r="AH8" s="16"/>
      <c r="AI8" s="16"/>
      <c r="AJ8" s="16"/>
      <c r="AK8" s="16"/>
      <c r="AL8" s="16"/>
      <c r="AM8" s="16"/>
      <c r="AN8" s="16"/>
      <c r="AO8" s="16"/>
      <c r="AP8" s="16"/>
      <c r="AQ8" s="16"/>
      <c r="AR8" s="16"/>
      <c r="AS8" s="16"/>
      <c r="AT8" s="16"/>
    </row>
    <row r="9" spans="1:46" ht="27.6">
      <c r="A9" s="243">
        <f t="shared" si="1"/>
        <v>8</v>
      </c>
      <c r="B9" s="214" t="s">
        <v>114</v>
      </c>
      <c r="C9" s="243" t="s">
        <v>44</v>
      </c>
      <c r="D9" s="256" t="str">
        <f>VLOOKUP(B9,VN_Emails!B:H,4,0)</f>
        <v>Le Cam Linh</v>
      </c>
      <c r="E9" s="260" t="str">
        <f>VLOOKUP(B9,VN_Emails!B:H,7,0)</f>
        <v>Shipping Supervisor</v>
      </c>
      <c r="F9" s="257" t="s">
        <v>115</v>
      </c>
      <c r="G9" s="258" t="str">
        <f>SUBSTITUTE(VLOOKUP(B9,VN_Emails!B:H,2,0),"@mapactive.vn","")</f>
        <v>linh.lecam</v>
      </c>
      <c r="H9" s="259" t="s">
        <v>73</v>
      </c>
      <c r="I9" s="243" t="str">
        <f t="shared" si="0"/>
        <v>Laptop Dell Latitude 5430</v>
      </c>
      <c r="J9" s="243" t="s">
        <v>48</v>
      </c>
      <c r="K9" s="243" t="s">
        <v>51</v>
      </c>
      <c r="L9" s="243" t="s">
        <v>95</v>
      </c>
      <c r="M9" s="243" t="s">
        <v>116</v>
      </c>
      <c r="N9" s="243">
        <v>20</v>
      </c>
      <c r="O9" s="243">
        <v>512</v>
      </c>
      <c r="P9" s="243" t="s">
        <v>47</v>
      </c>
      <c r="Q9" s="243" t="s">
        <v>49</v>
      </c>
      <c r="R9" s="243"/>
      <c r="S9" s="243"/>
      <c r="T9" s="243"/>
      <c r="U9" s="6"/>
      <c r="V9" s="18"/>
      <c r="W9" s="103"/>
      <c r="X9" s="1" t="s">
        <v>117</v>
      </c>
      <c r="Y9" s="1" t="s">
        <v>43</v>
      </c>
      <c r="Z9" s="1"/>
      <c r="AA9" s="1" t="s">
        <v>43</v>
      </c>
      <c r="AB9" s="99" t="s">
        <v>43</v>
      </c>
      <c r="AC9" s="15"/>
      <c r="AD9" s="16"/>
      <c r="AE9" s="16"/>
      <c r="AF9" s="16"/>
      <c r="AG9" s="16"/>
      <c r="AH9" s="16"/>
      <c r="AI9" s="16"/>
      <c r="AJ9" s="16"/>
      <c r="AK9" s="16"/>
      <c r="AL9" s="16"/>
      <c r="AM9" s="16"/>
      <c r="AN9" s="16"/>
      <c r="AO9" s="16"/>
      <c r="AP9" s="16"/>
      <c r="AQ9" s="16"/>
      <c r="AR9" s="16"/>
      <c r="AS9" s="16"/>
      <c r="AT9" s="16"/>
    </row>
    <row r="10" spans="1:46" ht="23.25" customHeight="1">
      <c r="A10" s="214">
        <f t="shared" si="1"/>
        <v>9</v>
      </c>
      <c r="B10" s="214" t="s">
        <v>118</v>
      </c>
      <c r="C10" s="214" t="s">
        <v>44</v>
      </c>
      <c r="D10" s="260" t="str">
        <f>VLOOKUP(B10,VN_Emails!B:H,4,0)</f>
        <v>Vo Ngoc Thanh Ngan</v>
      </c>
      <c r="E10" s="260" t="str">
        <f>VLOOKUP(B10,VN_Emails!B:H,7,0)</f>
        <v>Intern</v>
      </c>
      <c r="F10" s="257" t="s">
        <v>119</v>
      </c>
      <c r="G10" s="259" t="str">
        <f>SUBSTITUTE(VLOOKUP(B10,VN_Emails!B:H,2,0),"@mapactive.vn","")</f>
        <v>ngan.vongocthanh</v>
      </c>
      <c r="H10" s="259" t="s">
        <v>73</v>
      </c>
      <c r="I10" s="214" t="str">
        <f t="shared" si="0"/>
        <v>Laptop Dell Latitude 3520</v>
      </c>
      <c r="J10" s="214" t="s">
        <v>48</v>
      </c>
      <c r="K10" s="214" t="s">
        <v>51</v>
      </c>
      <c r="L10" s="214" t="s">
        <v>50</v>
      </c>
      <c r="M10" s="243" t="s">
        <v>120</v>
      </c>
      <c r="N10" s="243">
        <v>8</v>
      </c>
      <c r="O10" s="243">
        <v>256</v>
      </c>
      <c r="P10" s="214" t="s">
        <v>47</v>
      </c>
      <c r="Q10" s="214" t="s">
        <v>52</v>
      </c>
      <c r="R10" s="243"/>
      <c r="S10" s="243"/>
      <c r="T10" s="243"/>
      <c r="U10" s="6"/>
      <c r="V10" s="18" t="s">
        <v>121</v>
      </c>
      <c r="W10" s="103"/>
      <c r="X10" s="1" t="s">
        <v>122</v>
      </c>
      <c r="Y10" s="1" t="s">
        <v>43</v>
      </c>
      <c r="Z10" s="1" t="s">
        <v>43</v>
      </c>
      <c r="AA10" s="1" t="s">
        <v>43</v>
      </c>
      <c r="AB10" s="99" t="s">
        <v>43</v>
      </c>
      <c r="AC10" s="15"/>
      <c r="AD10" s="16"/>
      <c r="AE10" s="16"/>
      <c r="AF10" s="16"/>
      <c r="AG10" s="16"/>
      <c r="AH10" s="16"/>
      <c r="AI10" s="16"/>
      <c r="AJ10" s="16"/>
      <c r="AK10" s="16"/>
      <c r="AL10" s="16"/>
      <c r="AM10" s="16"/>
      <c r="AN10" s="16"/>
      <c r="AO10" s="16"/>
      <c r="AP10" s="16"/>
      <c r="AQ10" s="16"/>
      <c r="AR10" s="16"/>
      <c r="AS10" s="16"/>
      <c r="AT10" s="16"/>
    </row>
    <row r="11" spans="1:46" ht="60.75" customHeight="1">
      <c r="A11" s="214">
        <f t="shared" si="1"/>
        <v>10</v>
      </c>
      <c r="B11" s="214" t="s">
        <v>123</v>
      </c>
      <c r="C11" s="214" t="s">
        <v>44</v>
      </c>
      <c r="D11" s="260" t="str">
        <f>VLOOKUP(B11,VN_Emails!B:H,4,0)</f>
        <v>Nguyen Bao Ngoc</v>
      </c>
      <c r="E11" s="260" t="str">
        <f>VLOOKUP(B11,VN_Emails!B:H,7,0)</f>
        <v>Division Operation Manager</v>
      </c>
      <c r="F11" s="257" t="s">
        <v>124</v>
      </c>
      <c r="G11" s="259" t="str">
        <f>SUBSTITUTE(VLOOKUP(B11,VN_Emails!B:H,2,0),"@mapactive.vn","")</f>
        <v>Ngoc.nguyenbao</v>
      </c>
      <c r="H11" s="259" t="s">
        <v>73</v>
      </c>
      <c r="I11" s="214" t="str">
        <f t="shared" si="0"/>
        <v>Laptop Dell Latitude 5430</v>
      </c>
      <c r="J11" s="214" t="s">
        <v>48</v>
      </c>
      <c r="K11" s="214" t="s">
        <v>51</v>
      </c>
      <c r="L11" s="214" t="s">
        <v>95</v>
      </c>
      <c r="M11" s="243" t="s">
        <v>125</v>
      </c>
      <c r="N11" s="243">
        <v>8</v>
      </c>
      <c r="O11" s="214">
        <v>512</v>
      </c>
      <c r="P11" s="214" t="s">
        <v>47</v>
      </c>
      <c r="Q11" s="214" t="s">
        <v>49</v>
      </c>
      <c r="R11" s="243"/>
      <c r="S11" s="243"/>
      <c r="T11" s="243"/>
      <c r="U11" s="6"/>
      <c r="V11" s="18" t="s">
        <v>126</v>
      </c>
      <c r="W11" s="103"/>
      <c r="X11" s="1" t="s">
        <v>127</v>
      </c>
      <c r="Y11" s="1" t="s">
        <v>43</v>
      </c>
      <c r="Z11" s="1" t="s">
        <v>43</v>
      </c>
      <c r="AA11" s="1" t="s">
        <v>43</v>
      </c>
      <c r="AB11" s="99" t="s">
        <v>43</v>
      </c>
      <c r="AC11" s="15"/>
      <c r="AD11" s="16"/>
      <c r="AE11" s="16"/>
      <c r="AF11" s="16"/>
      <c r="AG11" s="16"/>
      <c r="AH11" s="16"/>
      <c r="AI11" s="16"/>
      <c r="AJ11" s="16"/>
      <c r="AK11" s="16"/>
      <c r="AL11" s="16"/>
      <c r="AM11" s="16"/>
      <c r="AN11" s="16"/>
      <c r="AO11" s="16"/>
      <c r="AP11" s="16"/>
      <c r="AQ11" s="16"/>
      <c r="AR11" s="16"/>
      <c r="AS11" s="16"/>
      <c r="AT11" s="16"/>
    </row>
    <row r="12" spans="1:46" ht="69" customHeight="1">
      <c r="A12" s="214">
        <f t="shared" si="1"/>
        <v>11</v>
      </c>
      <c r="B12" s="214" t="s">
        <v>128</v>
      </c>
      <c r="C12" s="214" t="s">
        <v>39</v>
      </c>
      <c r="D12" s="260" t="e">
        <f>VLOOKUP(B12,VN_Emails!B:H,4,0)</f>
        <v>#N/A</v>
      </c>
      <c r="E12" s="260" t="e">
        <f>VLOOKUP(B12,VN_Emails!B:H,7,0)</f>
        <v>#N/A</v>
      </c>
      <c r="F12" s="257" t="s">
        <v>129</v>
      </c>
      <c r="G12" s="259" t="e">
        <f>SUBSTITUTE(VLOOKUP(B12,VN_Emails!B:H,2,0),"@mapactive.vn","")</f>
        <v>#N/A</v>
      </c>
      <c r="H12" s="259" t="s">
        <v>73</v>
      </c>
      <c r="I12" s="214" t="str">
        <f t="shared" si="0"/>
        <v>Laptop Dell Latitude 3520</v>
      </c>
      <c r="J12" s="214" t="s">
        <v>48</v>
      </c>
      <c r="K12" s="214" t="s">
        <v>51</v>
      </c>
      <c r="L12" s="214" t="s">
        <v>50</v>
      </c>
      <c r="M12" s="243" t="s">
        <v>130</v>
      </c>
      <c r="N12" s="243">
        <v>8</v>
      </c>
      <c r="O12" s="243">
        <v>256</v>
      </c>
      <c r="P12" s="214" t="s">
        <v>47</v>
      </c>
      <c r="Q12" s="214" t="s">
        <v>52</v>
      </c>
      <c r="R12" s="243"/>
      <c r="S12" s="243"/>
      <c r="T12" s="243" t="s">
        <v>131</v>
      </c>
      <c r="U12" s="6"/>
      <c r="V12" s="18"/>
      <c r="W12" s="103"/>
      <c r="X12" s="1" t="s">
        <v>132</v>
      </c>
      <c r="Y12" s="1" t="s">
        <v>43</v>
      </c>
      <c r="Z12" s="1" t="s">
        <v>43</v>
      </c>
      <c r="AA12" s="1" t="s">
        <v>43</v>
      </c>
      <c r="AB12" s="99" t="s">
        <v>43</v>
      </c>
      <c r="AC12" s="15"/>
      <c r="AD12" s="16"/>
      <c r="AE12" s="16"/>
      <c r="AF12" s="16"/>
      <c r="AG12" s="16"/>
      <c r="AH12" s="16"/>
      <c r="AI12" s="16"/>
      <c r="AJ12" s="16"/>
      <c r="AK12" s="16"/>
      <c r="AL12" s="16"/>
      <c r="AM12" s="16"/>
      <c r="AN12" s="16"/>
      <c r="AO12" s="16"/>
      <c r="AP12" s="16"/>
      <c r="AQ12" s="16"/>
      <c r="AR12" s="16"/>
      <c r="AS12" s="16"/>
      <c r="AT12" s="16"/>
    </row>
    <row r="13" spans="1:46" ht="59.25" customHeight="1">
      <c r="A13" s="214">
        <f t="shared" si="1"/>
        <v>12</v>
      </c>
      <c r="B13" s="214" t="s">
        <v>133</v>
      </c>
      <c r="C13" s="214" t="s">
        <v>44</v>
      </c>
      <c r="D13" s="260" t="str">
        <f>VLOOKUP(B13,VN_Emails!B:H,4,0)</f>
        <v>Tran Thi Yen Nhi</v>
      </c>
      <c r="E13" s="260" t="str">
        <f>VLOOKUP(B13,VN_Emails!B:H,7,0)</f>
        <v>Payroll &amp; Em. Servieces Executive</v>
      </c>
      <c r="F13" s="257" t="s">
        <v>134</v>
      </c>
      <c r="G13" s="259" t="str">
        <f>SUBSTITUTE(VLOOKUP(B13,VN_Emails!B:H,2,0),"@mapactive.vn","")</f>
        <v>nhi.tranthiyen</v>
      </c>
      <c r="H13" s="259" t="s">
        <v>73</v>
      </c>
      <c r="I13" s="214" t="str">
        <f t="shared" si="0"/>
        <v>Laptop HP Pavilion 15-eg0xxx</v>
      </c>
      <c r="J13" s="214" t="s">
        <v>48</v>
      </c>
      <c r="K13" s="214" t="s">
        <v>41</v>
      </c>
      <c r="L13" s="214" t="s">
        <v>135</v>
      </c>
      <c r="M13" s="243" t="s">
        <v>136</v>
      </c>
      <c r="N13" s="243">
        <v>8</v>
      </c>
      <c r="O13" s="214">
        <v>512</v>
      </c>
      <c r="P13" s="214" t="s">
        <v>47</v>
      </c>
      <c r="Q13" s="214" t="s">
        <v>137</v>
      </c>
      <c r="R13" s="243"/>
      <c r="S13" s="243"/>
      <c r="T13" s="243"/>
      <c r="U13" s="6"/>
      <c r="V13" s="18"/>
      <c r="W13" s="103" t="s">
        <v>91</v>
      </c>
      <c r="X13" s="1" t="s">
        <v>138</v>
      </c>
      <c r="Y13" s="1" t="s">
        <v>43</v>
      </c>
      <c r="Z13" s="1" t="s">
        <v>43</v>
      </c>
      <c r="AA13" s="1" t="s">
        <v>43</v>
      </c>
      <c r="AB13" s="99" t="s">
        <v>43</v>
      </c>
      <c r="AC13" s="15"/>
      <c r="AD13" s="16"/>
      <c r="AE13" s="16"/>
      <c r="AF13" s="16"/>
      <c r="AG13" s="16"/>
      <c r="AH13" s="16"/>
      <c r="AI13" s="16"/>
      <c r="AJ13" s="16"/>
      <c r="AK13" s="16"/>
      <c r="AL13" s="16"/>
      <c r="AM13" s="16"/>
      <c r="AN13" s="16"/>
      <c r="AO13" s="16"/>
      <c r="AP13" s="16"/>
      <c r="AQ13" s="16"/>
      <c r="AR13" s="16"/>
      <c r="AS13" s="16"/>
      <c r="AT13" s="16"/>
    </row>
    <row r="14" spans="1:46" ht="30.6">
      <c r="A14" s="214">
        <f t="shared" si="1"/>
        <v>13</v>
      </c>
      <c r="B14" s="214" t="s">
        <v>139</v>
      </c>
      <c r="C14" s="214" t="s">
        <v>44</v>
      </c>
      <c r="D14" s="260" t="str">
        <f>VLOOKUP(B14,VN_Emails!B:H,4,0)</f>
        <v>Ni Ksormahhko</v>
      </c>
      <c r="E14" s="260" t="str">
        <f>VLOOKUP(B14,VN_Emails!B:H,7,0)</f>
        <v>Procurement Executive</v>
      </c>
      <c r="F14" s="257" t="s">
        <v>140</v>
      </c>
      <c r="G14" s="259" t="str">
        <f>SUBSTITUTE(VLOOKUP(B14,VN_Emails!B:H,2,0),"@mapactive.vn","")</f>
        <v>ni.ksormahhko</v>
      </c>
      <c r="H14" s="259" t="s">
        <v>73</v>
      </c>
      <c r="I14" s="214" t="str">
        <f t="shared" si="0"/>
        <v>Laptop Dell Latitude 3520</v>
      </c>
      <c r="J14" s="214" t="s">
        <v>48</v>
      </c>
      <c r="K14" s="214" t="s">
        <v>51</v>
      </c>
      <c r="L14" s="214" t="s">
        <v>50</v>
      </c>
      <c r="M14" s="266" t="s">
        <v>141</v>
      </c>
      <c r="N14" s="243">
        <v>8</v>
      </c>
      <c r="O14" s="243">
        <v>256</v>
      </c>
      <c r="P14" s="214" t="s">
        <v>47</v>
      </c>
      <c r="Q14" s="214" t="s">
        <v>142</v>
      </c>
      <c r="R14" s="256"/>
      <c r="S14" s="256"/>
      <c r="T14" s="243"/>
      <c r="U14" s="6"/>
      <c r="V14" s="18"/>
      <c r="W14" s="103"/>
      <c r="X14" s="1" t="s">
        <v>143</v>
      </c>
      <c r="Y14" s="1" t="s">
        <v>43</v>
      </c>
      <c r="Z14" s="1" t="s">
        <v>43</v>
      </c>
      <c r="AA14" s="1" t="s">
        <v>43</v>
      </c>
      <c r="AB14" s="99" t="s">
        <v>43</v>
      </c>
      <c r="AC14" s="15"/>
      <c r="AD14" s="16"/>
      <c r="AE14" s="16"/>
      <c r="AF14" s="16"/>
      <c r="AG14" s="16"/>
      <c r="AH14" s="16"/>
      <c r="AI14" s="16"/>
      <c r="AJ14" s="16"/>
      <c r="AK14" s="16"/>
      <c r="AL14" s="16"/>
      <c r="AM14" s="16"/>
      <c r="AN14" s="16"/>
      <c r="AO14" s="16"/>
      <c r="AP14" s="16"/>
      <c r="AQ14" s="16"/>
      <c r="AR14" s="16"/>
      <c r="AS14" s="16"/>
      <c r="AT14" s="16"/>
    </row>
    <row r="15" spans="1:46" ht="27.6">
      <c r="A15" s="243">
        <f t="shared" si="1"/>
        <v>14</v>
      </c>
      <c r="B15" s="214" t="s">
        <v>144</v>
      </c>
      <c r="C15" s="243" t="s">
        <v>44</v>
      </c>
      <c r="D15" s="256" t="str">
        <f>VLOOKUP(B15,VN_Emails!B:H,4,0)</f>
        <v>Huynh Tuan Nhan</v>
      </c>
      <c r="E15" s="256" t="str">
        <f>VLOOKUP(B15,VN_Emails!B:H,7,0)</f>
        <v>SCM Manager</v>
      </c>
      <c r="F15" s="257" t="s">
        <v>145</v>
      </c>
      <c r="G15" s="258" t="str">
        <f>SUBSTITUTE(VLOOKUP(B15,VN_Emails!B:H,2,0),"@mapactive.vn","")</f>
        <v>nhan.huynhtuan</v>
      </c>
      <c r="H15" s="259" t="s">
        <v>73</v>
      </c>
      <c r="I15" s="243" t="str">
        <f t="shared" si="0"/>
        <v>Laptop Dell Latitude 5430</v>
      </c>
      <c r="J15" s="243" t="s">
        <v>48</v>
      </c>
      <c r="K15" s="243" t="s">
        <v>51</v>
      </c>
      <c r="L15" s="243" t="s">
        <v>95</v>
      </c>
      <c r="M15" s="243" t="s">
        <v>146</v>
      </c>
      <c r="N15" s="243">
        <v>16</v>
      </c>
      <c r="O15" s="243">
        <v>512</v>
      </c>
      <c r="P15" s="243" t="s">
        <v>47</v>
      </c>
      <c r="Q15" s="243" t="s">
        <v>49</v>
      </c>
      <c r="R15" s="243"/>
      <c r="S15" s="243"/>
      <c r="T15" s="243"/>
      <c r="U15" s="6"/>
      <c r="V15" s="18"/>
      <c r="W15" s="103"/>
      <c r="X15" s="1" t="s">
        <v>147</v>
      </c>
      <c r="Y15" s="1" t="s">
        <v>43</v>
      </c>
      <c r="Z15" s="1" t="s">
        <v>43</v>
      </c>
      <c r="AA15" s="1" t="s">
        <v>43</v>
      </c>
      <c r="AB15" s="99" t="s">
        <v>43</v>
      </c>
      <c r="AC15" s="15"/>
      <c r="AD15" s="16"/>
      <c r="AE15" s="16"/>
      <c r="AF15" s="16"/>
      <c r="AG15" s="16"/>
      <c r="AH15" s="16"/>
      <c r="AI15" s="16"/>
      <c r="AJ15" s="16"/>
      <c r="AK15" s="16"/>
      <c r="AL15" s="16"/>
      <c r="AM15" s="16"/>
      <c r="AN15" s="16"/>
      <c r="AO15" s="16"/>
      <c r="AP15" s="16"/>
      <c r="AQ15" s="16"/>
      <c r="AR15" s="16"/>
      <c r="AS15" s="16"/>
      <c r="AT15" s="16"/>
    </row>
    <row r="16" spans="1:46" ht="27.6">
      <c r="A16" s="214">
        <f t="shared" si="1"/>
        <v>15</v>
      </c>
      <c r="B16" s="214" t="s">
        <v>148</v>
      </c>
      <c r="C16" s="214" t="s">
        <v>39</v>
      </c>
      <c r="D16" s="260" t="e">
        <f>VLOOKUP(B16,VN_Emails!B:H,4,0)</f>
        <v>#N/A</v>
      </c>
      <c r="E16" s="260" t="e">
        <f>VLOOKUP(B16,VN_Emails!B:H,7,0)</f>
        <v>#N/A</v>
      </c>
      <c r="F16" s="257" t="s">
        <v>149</v>
      </c>
      <c r="G16" s="259" t="e">
        <f>SUBSTITUTE(VLOOKUP(B16,VN_Emails!B:H,2,0),"@mapactive.vn","")</f>
        <v>#N/A</v>
      </c>
      <c r="H16" s="259" t="s">
        <v>73</v>
      </c>
      <c r="I16" s="214" t="str">
        <f t="shared" si="0"/>
        <v>Laptop Dell Latitude 3520</v>
      </c>
      <c r="J16" s="214" t="s">
        <v>48</v>
      </c>
      <c r="K16" s="214" t="s">
        <v>51</v>
      </c>
      <c r="L16" s="214" t="s">
        <v>50</v>
      </c>
      <c r="M16" s="243" t="s">
        <v>150</v>
      </c>
      <c r="N16" s="243">
        <v>12</v>
      </c>
      <c r="O16" s="243">
        <v>512</v>
      </c>
      <c r="P16" s="214" t="s">
        <v>47</v>
      </c>
      <c r="Q16" s="214" t="s">
        <v>52</v>
      </c>
      <c r="R16" s="243"/>
      <c r="S16" s="243"/>
      <c r="T16" s="243" t="s">
        <v>151</v>
      </c>
      <c r="U16" s="6"/>
      <c r="V16" s="18"/>
      <c r="W16" s="103"/>
      <c r="X16" s="1" t="s">
        <v>152</v>
      </c>
      <c r="Y16" s="1" t="s">
        <v>43</v>
      </c>
      <c r="Z16" s="1" t="s">
        <v>43</v>
      </c>
      <c r="AA16" s="1" t="s">
        <v>43</v>
      </c>
      <c r="AB16" s="99" t="s">
        <v>43</v>
      </c>
      <c r="AC16" s="15"/>
      <c r="AD16" s="16"/>
      <c r="AE16" s="16"/>
      <c r="AF16" s="16"/>
      <c r="AG16" s="16"/>
      <c r="AH16" s="16"/>
      <c r="AI16" s="16"/>
      <c r="AJ16" s="16"/>
      <c r="AK16" s="16"/>
      <c r="AL16" s="16"/>
      <c r="AM16" s="16"/>
      <c r="AN16" s="16"/>
      <c r="AO16" s="16"/>
      <c r="AP16" s="16"/>
      <c r="AQ16" s="16"/>
      <c r="AR16" s="16"/>
      <c r="AS16" s="16"/>
      <c r="AT16" s="16"/>
    </row>
    <row r="17" spans="1:46" ht="27.6">
      <c r="A17" s="243">
        <f t="shared" si="1"/>
        <v>16</v>
      </c>
      <c r="B17" s="214" t="s">
        <v>153</v>
      </c>
      <c r="C17" s="243" t="s">
        <v>39</v>
      </c>
      <c r="D17" s="256" t="e">
        <f>VLOOKUP(B17,VN_Emails!B:H,4,0)</f>
        <v>#N/A</v>
      </c>
      <c r="E17" s="256" t="e">
        <f>VLOOKUP(B17,VN_Emails!B:H,7,0)</f>
        <v>#N/A</v>
      </c>
      <c r="F17" s="257" t="s">
        <v>154</v>
      </c>
      <c r="G17" s="258" t="e">
        <f>SUBSTITUTE(VLOOKUP(B17,VN_Emails!B:H,2,0),"@mapactive.vn","")</f>
        <v>#N/A</v>
      </c>
      <c r="H17" s="259" t="s">
        <v>73</v>
      </c>
      <c r="I17" s="243" t="str">
        <f t="shared" si="0"/>
        <v>Laptop Dell Latitude 3520</v>
      </c>
      <c r="J17" s="243" t="s">
        <v>48</v>
      </c>
      <c r="K17" s="243" t="s">
        <v>51</v>
      </c>
      <c r="L17" s="243" t="s">
        <v>50</v>
      </c>
      <c r="M17" s="243" t="s">
        <v>155</v>
      </c>
      <c r="N17" s="243">
        <v>16</v>
      </c>
      <c r="O17" s="243">
        <v>256</v>
      </c>
      <c r="P17" s="243" t="s">
        <v>47</v>
      </c>
      <c r="Q17" s="243" t="s">
        <v>52</v>
      </c>
      <c r="R17" s="243"/>
      <c r="S17" s="243"/>
      <c r="T17" s="243"/>
      <c r="U17" s="6"/>
      <c r="V17" s="18"/>
      <c r="W17" s="103"/>
      <c r="X17" s="1" t="s">
        <v>156</v>
      </c>
      <c r="Y17" s="1" t="s">
        <v>43</v>
      </c>
      <c r="Z17" s="1" t="s">
        <v>43</v>
      </c>
      <c r="AA17" s="1" t="s">
        <v>43</v>
      </c>
      <c r="AB17" s="99" t="s">
        <v>43</v>
      </c>
      <c r="AC17" s="15"/>
      <c r="AD17" s="16"/>
      <c r="AE17" s="16"/>
      <c r="AF17" s="16"/>
      <c r="AG17" s="16"/>
      <c r="AH17" s="16"/>
      <c r="AI17" s="16"/>
      <c r="AJ17" s="16"/>
      <c r="AK17" s="16"/>
      <c r="AL17" s="16"/>
      <c r="AM17" s="16"/>
      <c r="AN17" s="16"/>
      <c r="AO17" s="16"/>
      <c r="AP17" s="16"/>
      <c r="AQ17" s="16"/>
      <c r="AR17" s="16"/>
      <c r="AS17" s="16"/>
      <c r="AT17" s="16"/>
    </row>
    <row r="18" spans="1:46" ht="41.4">
      <c r="A18" s="214">
        <f t="shared" si="1"/>
        <v>17</v>
      </c>
      <c r="B18" s="214" t="s">
        <v>157</v>
      </c>
      <c r="C18" s="214" t="s">
        <v>44</v>
      </c>
      <c r="D18" s="260" t="str">
        <f>VLOOKUP(B18,VN_Emails!B:H,4,0)</f>
        <v>Dang Thanh Nam</v>
      </c>
      <c r="E18" s="260" t="str">
        <f>VLOOKUP(B18,VN_Emails!B:H,7,0)</f>
        <v>Warehouse and Distribution Supervisor</v>
      </c>
      <c r="F18" s="257" t="s">
        <v>158</v>
      </c>
      <c r="G18" s="259" t="str">
        <f>SUBSTITUTE(VLOOKUP(B18,VN_Emails!B:H,2,0),"@mapactive.vn","")</f>
        <v>nam.dangthanh</v>
      </c>
      <c r="H18" s="259" t="s">
        <v>73</v>
      </c>
      <c r="I18" s="214" t="str">
        <f t="shared" si="0"/>
        <v>Laptop Dell Latitude 3520</v>
      </c>
      <c r="J18" s="214" t="s">
        <v>48</v>
      </c>
      <c r="K18" s="214" t="s">
        <v>51</v>
      </c>
      <c r="L18" s="214" t="s">
        <v>50</v>
      </c>
      <c r="M18" s="243" t="s">
        <v>159</v>
      </c>
      <c r="N18" s="243">
        <v>8</v>
      </c>
      <c r="O18" s="243">
        <v>256</v>
      </c>
      <c r="P18" s="214" t="s">
        <v>47</v>
      </c>
      <c r="Q18" s="214" t="s">
        <v>52</v>
      </c>
      <c r="R18" s="243"/>
      <c r="S18" s="243"/>
      <c r="T18" s="243"/>
      <c r="U18" s="6"/>
      <c r="V18" s="18"/>
      <c r="W18" s="103"/>
      <c r="X18" s="1" t="s">
        <v>160</v>
      </c>
      <c r="Y18" s="1" t="s">
        <v>43</v>
      </c>
      <c r="Z18" s="1" t="s">
        <v>43</v>
      </c>
      <c r="AA18" s="1" t="s">
        <v>43</v>
      </c>
      <c r="AB18" s="99" t="s">
        <v>43</v>
      </c>
      <c r="AC18" s="15"/>
      <c r="AD18" s="16"/>
      <c r="AE18" s="16"/>
      <c r="AF18" s="16"/>
      <c r="AG18" s="16"/>
      <c r="AH18" s="16"/>
      <c r="AI18" s="16"/>
      <c r="AJ18" s="16"/>
      <c r="AK18" s="16"/>
      <c r="AL18" s="16"/>
      <c r="AM18" s="16"/>
      <c r="AN18" s="16"/>
      <c r="AO18" s="16"/>
      <c r="AP18" s="16"/>
      <c r="AQ18" s="16"/>
      <c r="AR18" s="16"/>
      <c r="AS18" s="16"/>
      <c r="AT18" s="16"/>
    </row>
    <row r="19" spans="1:46" ht="27.6">
      <c r="A19" s="214">
        <f t="shared" si="1"/>
        <v>18</v>
      </c>
      <c r="B19" s="214" t="s">
        <v>161</v>
      </c>
      <c r="C19" s="214" t="s">
        <v>39</v>
      </c>
      <c r="D19" s="260"/>
      <c r="E19" s="260" t="e">
        <f>VLOOKUP(B19,VN_Emails!B:H,7,0)</f>
        <v>#N/A</v>
      </c>
      <c r="F19" s="257" t="s">
        <v>162</v>
      </c>
      <c r="G19" s="259" t="e">
        <f>SUBSTITUTE(VLOOKUP(B19,VN_Emails!B:H,2,0),"@mapactive.vn","")</f>
        <v>#N/A</v>
      </c>
      <c r="H19" s="259" t="s">
        <v>73</v>
      </c>
      <c r="I19" s="214" t="str">
        <f t="shared" si="0"/>
        <v>Laptop Dell Latitude 3520</v>
      </c>
      <c r="J19" s="214" t="s">
        <v>48</v>
      </c>
      <c r="K19" s="214" t="s">
        <v>51</v>
      </c>
      <c r="L19" s="214" t="s">
        <v>50</v>
      </c>
      <c r="M19" s="243" t="s">
        <v>163</v>
      </c>
      <c r="N19" s="243">
        <v>8</v>
      </c>
      <c r="O19" s="243">
        <v>256</v>
      </c>
      <c r="P19" s="214" t="s">
        <v>47</v>
      </c>
      <c r="Q19" s="214" t="s">
        <v>52</v>
      </c>
      <c r="R19" s="243"/>
      <c r="S19" s="243"/>
      <c r="T19" s="243"/>
      <c r="U19" s="6"/>
      <c r="V19" s="18"/>
      <c r="W19" s="103"/>
      <c r="X19" s="1" t="s">
        <v>164</v>
      </c>
      <c r="Y19" s="1" t="s">
        <v>43</v>
      </c>
      <c r="Z19" s="1" t="s">
        <v>43</v>
      </c>
      <c r="AA19" s="1" t="s">
        <v>43</v>
      </c>
      <c r="AB19" s="99" t="s">
        <v>43</v>
      </c>
      <c r="AC19" s="15"/>
      <c r="AD19" s="16"/>
      <c r="AE19" s="16"/>
      <c r="AF19" s="16"/>
      <c r="AG19" s="16"/>
      <c r="AH19" s="16"/>
      <c r="AI19" s="16"/>
      <c r="AJ19" s="16"/>
      <c r="AK19" s="16"/>
      <c r="AL19" s="16"/>
      <c r="AM19" s="16"/>
      <c r="AN19" s="16"/>
      <c r="AO19" s="16"/>
      <c r="AP19" s="16"/>
      <c r="AQ19" s="16"/>
      <c r="AR19" s="16"/>
      <c r="AS19" s="16"/>
      <c r="AT19" s="16"/>
    </row>
    <row r="20" spans="1:46" ht="27.6">
      <c r="A20" s="243">
        <f t="shared" si="1"/>
        <v>19</v>
      </c>
      <c r="B20" s="214" t="s">
        <v>165</v>
      </c>
      <c r="C20" s="243" t="s">
        <v>44</v>
      </c>
      <c r="D20" s="256" t="s">
        <v>166</v>
      </c>
      <c r="E20" s="256" t="str">
        <f>VLOOKUP(B20,VN_Emails!B:H,7,0)</f>
        <v>COE Manager</v>
      </c>
      <c r="F20" s="257" t="s">
        <v>167</v>
      </c>
      <c r="G20" s="258" t="str">
        <f>SUBSTITUTE(VLOOKUP(B20,VN_Emails!B:H,2,0),"@mapactive.vn","")</f>
        <v>them.quanthanh</v>
      </c>
      <c r="H20" s="259" t="s">
        <v>73</v>
      </c>
      <c r="I20" s="243" t="str">
        <f t="shared" si="0"/>
        <v>Laptop Dell Latitude 5430</v>
      </c>
      <c r="J20" s="243" t="s">
        <v>48</v>
      </c>
      <c r="K20" s="243" t="s">
        <v>51</v>
      </c>
      <c r="L20" s="243" t="s">
        <v>95</v>
      </c>
      <c r="M20" s="243" t="s">
        <v>168</v>
      </c>
      <c r="N20" s="243">
        <v>16</v>
      </c>
      <c r="O20" s="243">
        <v>512</v>
      </c>
      <c r="P20" s="243" t="s">
        <v>47</v>
      </c>
      <c r="Q20" s="243" t="s">
        <v>49</v>
      </c>
      <c r="R20" s="243"/>
      <c r="S20" s="243"/>
      <c r="T20" s="243"/>
      <c r="U20" s="6"/>
      <c r="V20" s="18"/>
      <c r="W20" s="103"/>
      <c r="X20" s="1" t="s">
        <v>169</v>
      </c>
      <c r="Y20" s="1" t="s">
        <v>43</v>
      </c>
      <c r="Z20" s="1" t="s">
        <v>43</v>
      </c>
      <c r="AA20" s="1" t="s">
        <v>43</v>
      </c>
      <c r="AB20" s="99" t="s">
        <v>43</v>
      </c>
      <c r="AC20" s="15"/>
      <c r="AD20" s="16"/>
      <c r="AE20" s="16"/>
      <c r="AF20" s="16"/>
      <c r="AG20" s="16"/>
      <c r="AH20" s="16"/>
      <c r="AI20" s="16"/>
      <c r="AJ20" s="16"/>
      <c r="AK20" s="16"/>
      <c r="AL20" s="16"/>
      <c r="AM20" s="16"/>
      <c r="AN20" s="16"/>
      <c r="AO20" s="16"/>
      <c r="AP20" s="16"/>
      <c r="AQ20" s="16"/>
      <c r="AR20" s="16"/>
      <c r="AS20" s="16"/>
      <c r="AT20" s="16"/>
    </row>
    <row r="21" spans="1:46" ht="27.6">
      <c r="A21" s="214">
        <f t="shared" si="1"/>
        <v>20</v>
      </c>
      <c r="B21" s="214" t="s">
        <v>170</v>
      </c>
      <c r="C21" s="214" t="s">
        <v>44</v>
      </c>
      <c r="D21" s="260" t="str">
        <f>VLOOKUP(B21,VN_Emails!B:H,4,0)</f>
        <v>Nguyen Ngoc Xuan Duyen</v>
      </c>
      <c r="E21" s="260" t="str">
        <f>VLOOKUP(B21,VN_Emails!B:H,7,0)</f>
        <v>COE Officer</v>
      </c>
      <c r="F21" s="257" t="s">
        <v>171</v>
      </c>
      <c r="G21" s="259" t="str">
        <f>SUBSTITUTE(VLOOKUP(B21,VN_Emails!B:H,2,0),"@mapactive.vn","")</f>
        <v>duyen.nguyenngocxuan</v>
      </c>
      <c r="H21" s="259" t="s">
        <v>73</v>
      </c>
      <c r="I21" s="214" t="str">
        <f t="shared" si="0"/>
        <v>Laptop Dell Latitude 3520</v>
      </c>
      <c r="J21" s="214" t="s">
        <v>48</v>
      </c>
      <c r="K21" s="214" t="s">
        <v>51</v>
      </c>
      <c r="L21" s="214" t="s">
        <v>50</v>
      </c>
      <c r="M21" s="243" t="s">
        <v>172</v>
      </c>
      <c r="N21" s="243">
        <v>8</v>
      </c>
      <c r="O21" s="243">
        <v>256</v>
      </c>
      <c r="P21" s="214" t="s">
        <v>47</v>
      </c>
      <c r="Q21" s="214" t="s">
        <v>52</v>
      </c>
      <c r="R21" s="243"/>
      <c r="S21" s="243"/>
      <c r="T21" s="243"/>
      <c r="U21" s="6"/>
      <c r="V21" s="18"/>
      <c r="W21" s="103"/>
      <c r="X21" s="1" t="s">
        <v>173</v>
      </c>
      <c r="Y21" s="1" t="s">
        <v>43</v>
      </c>
      <c r="Z21" s="1" t="s">
        <v>43</v>
      </c>
      <c r="AA21" s="1" t="s">
        <v>43</v>
      </c>
      <c r="AB21" s="99" t="s">
        <v>43</v>
      </c>
      <c r="AC21" s="15"/>
      <c r="AD21" s="16"/>
      <c r="AE21" s="16"/>
      <c r="AF21" s="16"/>
      <c r="AG21" s="16"/>
      <c r="AH21" s="16"/>
      <c r="AI21" s="16"/>
      <c r="AJ21" s="16"/>
      <c r="AK21" s="16"/>
      <c r="AL21" s="16"/>
      <c r="AM21" s="16"/>
      <c r="AN21" s="16"/>
      <c r="AO21" s="16"/>
      <c r="AP21" s="16"/>
      <c r="AQ21" s="16"/>
      <c r="AR21" s="16"/>
      <c r="AS21" s="16"/>
      <c r="AT21" s="16"/>
    </row>
    <row r="22" spans="1:46" ht="72">
      <c r="A22" s="214">
        <f t="shared" si="1"/>
        <v>21</v>
      </c>
      <c r="B22" s="214" t="s">
        <v>174</v>
      </c>
      <c r="C22" s="214" t="s">
        <v>44</v>
      </c>
      <c r="D22" s="260" t="str">
        <f>VLOOKUP(B22,VN_Emails!B:H,4,0)</f>
        <v>Nguyen Quyet Thang</v>
      </c>
      <c r="E22" s="260" t="str">
        <f>VLOOKUP(B22,VN_Emails!B:H,7,0)</f>
        <v>COE Officer</v>
      </c>
      <c r="F22" s="257" t="s">
        <v>175</v>
      </c>
      <c r="G22" s="259" t="s">
        <v>176</v>
      </c>
      <c r="H22" s="259" t="s">
        <v>73</v>
      </c>
      <c r="I22" s="214" t="str">
        <f t="shared" si="0"/>
        <v>Laptop Dell Latitude 3520</v>
      </c>
      <c r="J22" s="214" t="s">
        <v>48</v>
      </c>
      <c r="K22" s="214" t="s">
        <v>51</v>
      </c>
      <c r="L22" s="214" t="s">
        <v>50</v>
      </c>
      <c r="M22" s="243" t="s">
        <v>177</v>
      </c>
      <c r="N22" s="243">
        <v>8</v>
      </c>
      <c r="O22" s="243">
        <v>256</v>
      </c>
      <c r="P22" s="214" t="s">
        <v>47</v>
      </c>
      <c r="Q22" s="214" t="s">
        <v>52</v>
      </c>
      <c r="R22" s="243"/>
      <c r="S22" s="243"/>
      <c r="T22" s="243"/>
      <c r="U22" s="6"/>
      <c r="V22" s="18" t="s">
        <v>178</v>
      </c>
      <c r="W22" s="103"/>
      <c r="X22" s="1" t="s">
        <v>179</v>
      </c>
      <c r="Y22" s="1" t="s">
        <v>43</v>
      </c>
      <c r="Z22" s="1" t="s">
        <v>43</v>
      </c>
      <c r="AA22" s="1" t="s">
        <v>43</v>
      </c>
      <c r="AB22" s="99" t="s">
        <v>43</v>
      </c>
      <c r="AC22" s="15"/>
      <c r="AD22" s="16"/>
      <c r="AE22" s="16"/>
      <c r="AF22" s="16"/>
      <c r="AG22" s="16"/>
      <c r="AH22" s="16"/>
      <c r="AI22" s="16"/>
      <c r="AJ22" s="16"/>
      <c r="AK22" s="16"/>
      <c r="AL22" s="16"/>
      <c r="AM22" s="16"/>
      <c r="AN22" s="16"/>
      <c r="AO22" s="16"/>
      <c r="AP22" s="16"/>
      <c r="AQ22" s="16"/>
      <c r="AR22" s="16"/>
      <c r="AS22" s="16"/>
      <c r="AT22" s="16"/>
    </row>
    <row r="23" spans="1:46" ht="72">
      <c r="A23" s="214">
        <f t="shared" si="1"/>
        <v>22</v>
      </c>
      <c r="B23" s="214" t="s">
        <v>180</v>
      </c>
      <c r="C23" s="214" t="s">
        <v>44</v>
      </c>
      <c r="D23" s="260" t="str">
        <f>VLOOKUP(B23,VN_Emails!B:H,4,0)</f>
        <v>Nguyen Bao Du</v>
      </c>
      <c r="E23" s="260" t="s">
        <v>53</v>
      </c>
      <c r="F23" s="257" t="s">
        <v>181</v>
      </c>
      <c r="G23" s="258"/>
      <c r="H23" s="259" t="s">
        <v>73</v>
      </c>
      <c r="I23" s="214" t="str">
        <f t="shared" si="0"/>
        <v>Laptop Dell Latitude 3520</v>
      </c>
      <c r="J23" s="214" t="s">
        <v>48</v>
      </c>
      <c r="K23" s="214" t="s">
        <v>51</v>
      </c>
      <c r="L23" s="214" t="s">
        <v>50</v>
      </c>
      <c r="M23" s="243" t="s">
        <v>182</v>
      </c>
      <c r="N23" s="243">
        <v>8</v>
      </c>
      <c r="O23" s="243">
        <v>256</v>
      </c>
      <c r="P23" s="214" t="s">
        <v>47</v>
      </c>
      <c r="Q23" s="214" t="s">
        <v>63</v>
      </c>
      <c r="R23" s="243"/>
      <c r="S23" s="243"/>
      <c r="T23" s="267" t="s">
        <v>183</v>
      </c>
      <c r="U23" s="126"/>
      <c r="V23" s="18" t="s">
        <v>184</v>
      </c>
      <c r="W23" s="103" t="s">
        <v>185</v>
      </c>
      <c r="X23" s="1" t="s">
        <v>186</v>
      </c>
      <c r="Y23" s="1" t="s">
        <v>43</v>
      </c>
      <c r="Z23" s="1" t="s">
        <v>43</v>
      </c>
      <c r="AA23" s="1" t="s">
        <v>43</v>
      </c>
      <c r="AB23" s="99" t="s">
        <v>43</v>
      </c>
      <c r="AC23" s="1" t="s">
        <v>43</v>
      </c>
      <c r="AD23" s="16"/>
      <c r="AE23" s="16"/>
      <c r="AF23" s="16"/>
      <c r="AG23" s="16"/>
      <c r="AH23" s="16"/>
      <c r="AI23" s="16"/>
      <c r="AJ23" s="16"/>
      <c r="AK23" s="16"/>
      <c r="AL23" s="16"/>
      <c r="AM23" s="16"/>
      <c r="AN23" s="16"/>
      <c r="AO23" s="16"/>
      <c r="AP23" s="16"/>
      <c r="AQ23" s="16"/>
      <c r="AR23" s="16"/>
      <c r="AS23" s="16"/>
      <c r="AT23" s="16"/>
    </row>
    <row r="24" spans="1:46" ht="27.6">
      <c r="A24" s="214">
        <f t="shared" si="1"/>
        <v>23</v>
      </c>
      <c r="B24" s="214" t="s">
        <v>187</v>
      </c>
      <c r="C24" s="214" t="s">
        <v>39</v>
      </c>
      <c r="D24" s="260" t="e">
        <f>VLOOKUP(B24,VN_Emails!B:H,4,0)</f>
        <v>#N/A</v>
      </c>
      <c r="E24" s="260" t="e">
        <f>VLOOKUP(B24,VN_Emails!B:H,7,0)</f>
        <v>#N/A</v>
      </c>
      <c r="F24" s="257" t="s">
        <v>188</v>
      </c>
      <c r="G24" s="259" t="e">
        <f>SUBSTITUTE(VLOOKUP(B24,VN_Emails!B:H,2,0),"@mapactive.vn","")</f>
        <v>#N/A</v>
      </c>
      <c r="H24" s="259" t="s">
        <v>73</v>
      </c>
      <c r="I24" s="214" t="str">
        <f t="shared" si="0"/>
        <v>Laptop Dell Latitude 3520</v>
      </c>
      <c r="J24" s="214" t="s">
        <v>48</v>
      </c>
      <c r="K24" s="214" t="s">
        <v>51</v>
      </c>
      <c r="L24" s="214" t="s">
        <v>50</v>
      </c>
      <c r="M24" s="243" t="s">
        <v>189</v>
      </c>
      <c r="N24" s="243">
        <v>8</v>
      </c>
      <c r="O24" s="243">
        <v>256</v>
      </c>
      <c r="P24" s="214" t="s">
        <v>47</v>
      </c>
      <c r="Q24" s="214" t="s">
        <v>52</v>
      </c>
      <c r="R24" s="243"/>
      <c r="S24" s="243"/>
      <c r="T24" s="243"/>
      <c r="U24" s="6"/>
      <c r="V24" s="18"/>
      <c r="W24" s="103"/>
      <c r="X24" s="1" t="s">
        <v>190</v>
      </c>
      <c r="Y24" s="1" t="s">
        <v>43</v>
      </c>
      <c r="Z24" s="1" t="s">
        <v>43</v>
      </c>
      <c r="AA24" s="1" t="s">
        <v>43</v>
      </c>
      <c r="AB24" s="99" t="s">
        <v>43</v>
      </c>
      <c r="AC24" s="15"/>
      <c r="AD24" s="16"/>
      <c r="AE24" s="16"/>
      <c r="AF24" s="16"/>
      <c r="AG24" s="16"/>
      <c r="AH24" s="16"/>
      <c r="AI24" s="16"/>
      <c r="AJ24" s="16"/>
      <c r="AK24" s="16"/>
      <c r="AL24" s="16"/>
      <c r="AM24" s="16"/>
      <c r="AN24" s="16"/>
      <c r="AO24" s="16"/>
      <c r="AP24" s="16"/>
      <c r="AQ24" s="16"/>
      <c r="AR24" s="16"/>
      <c r="AS24" s="16"/>
      <c r="AT24" s="16"/>
    </row>
    <row r="25" spans="1:46" ht="41.4">
      <c r="A25" s="243">
        <f t="shared" si="1"/>
        <v>24</v>
      </c>
      <c r="B25" s="214" t="s">
        <v>191</v>
      </c>
      <c r="C25" s="243" t="s">
        <v>44</v>
      </c>
      <c r="D25" s="256" t="str">
        <f>VLOOKUP(B25,VN_Emails!B:H,4,0)</f>
        <v>Luong Huu Quan</v>
      </c>
      <c r="E25" s="256" t="str">
        <f>VLOOKUP(B25,VN_Emails!B:H,7,0)</f>
        <v>IT Infrastructure &amp; Operations Supervisor</v>
      </c>
      <c r="F25" s="257" t="s">
        <v>192</v>
      </c>
      <c r="G25" s="258" t="str">
        <f>SUBSTITUTE(VLOOKUP(B25,VN_Emails!B:H,2,0),"@mapactive.vn","")</f>
        <v>quan.luonghuu</v>
      </c>
      <c r="H25" s="259" t="s">
        <v>73</v>
      </c>
      <c r="I25" s="243" t="str">
        <f t="shared" si="0"/>
        <v>Laptop Dell Latitude 5430</v>
      </c>
      <c r="J25" s="243" t="s">
        <v>48</v>
      </c>
      <c r="K25" s="243" t="s">
        <v>51</v>
      </c>
      <c r="L25" s="243" t="s">
        <v>95</v>
      </c>
      <c r="M25" s="243" t="s">
        <v>193</v>
      </c>
      <c r="N25" s="243">
        <v>16</v>
      </c>
      <c r="O25" s="243">
        <v>512</v>
      </c>
      <c r="P25" s="243" t="s">
        <v>47</v>
      </c>
      <c r="Q25" s="243" t="s">
        <v>49</v>
      </c>
      <c r="R25" s="243"/>
      <c r="S25" s="243"/>
      <c r="T25" s="243"/>
      <c r="U25" s="6"/>
      <c r="V25" s="18"/>
      <c r="W25" s="103"/>
      <c r="X25" s="1" t="s">
        <v>194</v>
      </c>
      <c r="Y25" s="1" t="s">
        <v>43</v>
      </c>
      <c r="Z25" s="1" t="s">
        <v>43</v>
      </c>
      <c r="AA25" s="1" t="s">
        <v>43</v>
      </c>
      <c r="AB25" s="99" t="s">
        <v>43</v>
      </c>
      <c r="AC25" s="15"/>
      <c r="AD25" s="16"/>
      <c r="AE25" s="16"/>
      <c r="AF25" s="16"/>
      <c r="AG25" s="16"/>
      <c r="AH25" s="16"/>
      <c r="AI25" s="16"/>
      <c r="AJ25" s="16"/>
      <c r="AK25" s="16"/>
      <c r="AL25" s="16"/>
      <c r="AM25" s="16"/>
      <c r="AN25" s="16"/>
      <c r="AO25" s="16"/>
      <c r="AP25" s="16"/>
      <c r="AQ25" s="16"/>
      <c r="AR25" s="16"/>
      <c r="AS25" s="16"/>
      <c r="AT25" s="16"/>
    </row>
    <row r="26" spans="1:46" s="16" customFormat="1" ht="114.75" customHeight="1">
      <c r="A26" s="243">
        <f t="shared" si="1"/>
        <v>25</v>
      </c>
      <c r="B26" s="214" t="s">
        <v>195</v>
      </c>
      <c r="C26" s="243" t="s">
        <v>39</v>
      </c>
      <c r="D26" s="256" t="s">
        <v>53</v>
      </c>
      <c r="E26" s="256" t="s">
        <v>53</v>
      </c>
      <c r="F26" s="257" t="s">
        <v>196</v>
      </c>
      <c r="G26" s="258"/>
      <c r="H26" s="259" t="s">
        <v>73</v>
      </c>
      <c r="I26" s="243" t="str">
        <f t="shared" si="0"/>
        <v>Laptop HP ProBook 440 G4</v>
      </c>
      <c r="J26" s="243" t="s">
        <v>48</v>
      </c>
      <c r="K26" s="243" t="s">
        <v>41</v>
      </c>
      <c r="L26" s="243" t="s">
        <v>197</v>
      </c>
      <c r="M26" s="243" t="s">
        <v>198</v>
      </c>
      <c r="N26" s="243">
        <v>16</v>
      </c>
      <c r="O26" s="243">
        <v>256</v>
      </c>
      <c r="P26" s="243" t="s">
        <v>47</v>
      </c>
      <c r="Q26" s="243" t="s">
        <v>199</v>
      </c>
      <c r="R26" s="243"/>
      <c r="S26" s="243"/>
      <c r="T26" s="243" t="s">
        <v>200</v>
      </c>
      <c r="U26" s="12"/>
      <c r="V26" s="18" t="s">
        <v>201</v>
      </c>
      <c r="W26" s="103"/>
      <c r="X26" s="55" t="s">
        <v>202</v>
      </c>
      <c r="Y26" s="1" t="s">
        <v>43</v>
      </c>
      <c r="Z26" s="1" t="s">
        <v>43</v>
      </c>
      <c r="AA26" s="1" t="s">
        <v>43</v>
      </c>
      <c r="AB26" s="99" t="s">
        <v>43</v>
      </c>
      <c r="AC26" s="1" t="s">
        <v>43</v>
      </c>
    </row>
    <row r="27" spans="1:46" ht="27.6">
      <c r="A27" s="214">
        <f t="shared" si="1"/>
        <v>26</v>
      </c>
      <c r="B27" s="214" t="s">
        <v>203</v>
      </c>
      <c r="C27" s="214" t="s">
        <v>44</v>
      </c>
      <c r="D27" s="260" t="str">
        <f>VLOOKUP(B27,VN_Emails!B:H,4,0)</f>
        <v>Huynh My Danh</v>
      </c>
      <c r="E27" s="260" t="str">
        <f>VLOOKUP(B27,VN_Emails!B:H,7,0)</f>
        <v>FP&amp;A Supervisor</v>
      </c>
      <c r="F27" s="257" t="s">
        <v>204</v>
      </c>
      <c r="G27" s="259" t="str">
        <f>SUBSTITUTE(VLOOKUP(B27,VN_Emails!B:H,2,0),"@mapactive.vn","")</f>
        <v>danh.huynhmy</v>
      </c>
      <c r="H27" s="259" t="s">
        <v>73</v>
      </c>
      <c r="I27" s="214" t="str">
        <f t="shared" si="0"/>
        <v>Laptop Dell Latitude 5420</v>
      </c>
      <c r="J27" s="214" t="s">
        <v>48</v>
      </c>
      <c r="K27" s="214" t="s">
        <v>51</v>
      </c>
      <c r="L27" s="214" t="s">
        <v>87</v>
      </c>
      <c r="M27" s="243" t="s">
        <v>205</v>
      </c>
      <c r="N27" s="243">
        <v>8</v>
      </c>
      <c r="O27" s="214">
        <v>512</v>
      </c>
      <c r="P27" s="214" t="s">
        <v>47</v>
      </c>
      <c r="Q27" s="214" t="s">
        <v>63</v>
      </c>
      <c r="R27" s="243"/>
      <c r="S27" s="243"/>
      <c r="T27" s="243"/>
      <c r="U27" s="6"/>
      <c r="V27" s="18"/>
      <c r="W27" s="103"/>
      <c r="X27" s="1" t="s">
        <v>206</v>
      </c>
      <c r="Y27" s="1" t="s">
        <v>43</v>
      </c>
      <c r="Z27" s="1" t="s">
        <v>43</v>
      </c>
      <c r="AA27" s="1" t="s">
        <v>43</v>
      </c>
      <c r="AB27" s="99" t="s">
        <v>43</v>
      </c>
      <c r="AC27" s="15"/>
      <c r="AD27" s="16"/>
      <c r="AE27" s="16"/>
      <c r="AF27" s="16"/>
      <c r="AG27" s="16"/>
      <c r="AH27" s="16"/>
      <c r="AI27" s="16"/>
      <c r="AJ27" s="16"/>
      <c r="AK27" s="16"/>
      <c r="AL27" s="16"/>
      <c r="AM27" s="16"/>
      <c r="AN27" s="16"/>
      <c r="AO27" s="16"/>
      <c r="AP27" s="16"/>
      <c r="AQ27" s="16"/>
      <c r="AR27" s="16"/>
      <c r="AS27" s="16"/>
      <c r="AT27" s="16"/>
    </row>
    <row r="28" spans="1:46" ht="41.4">
      <c r="A28" s="214">
        <f t="shared" si="1"/>
        <v>27</v>
      </c>
      <c r="B28" s="214" t="s">
        <v>207</v>
      </c>
      <c r="C28" s="214" t="s">
        <v>44</v>
      </c>
      <c r="D28" s="260" t="str">
        <f>VLOOKUP(B28,VN_Emails!B:H,4,0)</f>
        <v>Nghiem Thi Hong Van</v>
      </c>
      <c r="E28" s="260" t="str">
        <f>VLOOKUP(B28,VN_Emails!B:H,7,0)</f>
        <v>Senior Merchandise</v>
      </c>
      <c r="F28" s="257" t="s">
        <v>208</v>
      </c>
      <c r="G28" s="259" t="str">
        <f>SUBSTITUTE(VLOOKUP(B28,VN_Emails!B:H,2,0),"@mapactive.vn","")</f>
        <v>van.nghiemthihong</v>
      </c>
      <c r="H28" s="259" t="s">
        <v>73</v>
      </c>
      <c r="I28" s="214" t="str">
        <f t="shared" si="0"/>
        <v>Laptop Dell Latitude 3520</v>
      </c>
      <c r="J28" s="214" t="s">
        <v>48</v>
      </c>
      <c r="K28" s="214" t="s">
        <v>51</v>
      </c>
      <c r="L28" s="214" t="s">
        <v>50</v>
      </c>
      <c r="M28" s="243" t="s">
        <v>209</v>
      </c>
      <c r="N28" s="243">
        <v>12</v>
      </c>
      <c r="O28" s="243">
        <v>256</v>
      </c>
      <c r="P28" s="214" t="s">
        <v>47</v>
      </c>
      <c r="Q28" s="214" t="s">
        <v>52</v>
      </c>
      <c r="R28" s="243"/>
      <c r="S28" s="243"/>
      <c r="T28" s="268" t="s">
        <v>210</v>
      </c>
      <c r="U28" s="22"/>
      <c r="V28" s="6" t="s">
        <v>211</v>
      </c>
      <c r="W28" s="6"/>
      <c r="X28" s="1" t="s">
        <v>212</v>
      </c>
      <c r="Y28" s="1" t="s">
        <v>43</v>
      </c>
      <c r="Z28" s="1" t="s">
        <v>43</v>
      </c>
      <c r="AA28" s="1" t="s">
        <v>43</v>
      </c>
      <c r="AB28" s="99" t="s">
        <v>43</v>
      </c>
      <c r="AC28" s="15"/>
      <c r="AD28" s="16"/>
      <c r="AE28" s="16"/>
      <c r="AF28" s="16"/>
      <c r="AG28" s="16"/>
      <c r="AH28" s="16"/>
      <c r="AI28" s="16"/>
      <c r="AJ28" s="16"/>
      <c r="AK28" s="16"/>
      <c r="AL28" s="16"/>
      <c r="AM28" s="16"/>
      <c r="AN28" s="16"/>
      <c r="AO28" s="16"/>
      <c r="AP28" s="16"/>
      <c r="AQ28" s="16"/>
      <c r="AR28" s="16"/>
      <c r="AS28" s="16"/>
      <c r="AT28" s="16"/>
    </row>
    <row r="29" spans="1:46" ht="80.25" customHeight="1">
      <c r="A29" s="214">
        <f t="shared" si="1"/>
        <v>28</v>
      </c>
      <c r="B29" s="214" t="s">
        <v>213</v>
      </c>
      <c r="C29" s="214" t="s">
        <v>39</v>
      </c>
      <c r="D29" s="260" t="e">
        <f>VLOOKUP(B29,VN_Emails!B:H,4,0)</f>
        <v>#N/A</v>
      </c>
      <c r="E29" s="260" t="e">
        <f>VLOOKUP(B29,VN_Emails!B:H,7,0)</f>
        <v>#N/A</v>
      </c>
      <c r="F29" s="257" t="s">
        <v>214</v>
      </c>
      <c r="G29" s="259" t="e">
        <f>SUBSTITUTE(VLOOKUP(B29,VN_Emails!B:H,2,0),"@mapactive.vn","")</f>
        <v>#N/A</v>
      </c>
      <c r="H29" s="259" t="s">
        <v>73</v>
      </c>
      <c r="I29" s="214" t="str">
        <f t="shared" si="0"/>
        <v>Laptop Dell Latitude 3520</v>
      </c>
      <c r="J29" s="214" t="s">
        <v>48</v>
      </c>
      <c r="K29" s="214" t="s">
        <v>51</v>
      </c>
      <c r="L29" s="214" t="s">
        <v>50</v>
      </c>
      <c r="M29" s="243" t="s">
        <v>215</v>
      </c>
      <c r="N29" s="243">
        <v>8</v>
      </c>
      <c r="O29" s="243">
        <v>256</v>
      </c>
      <c r="P29" s="214" t="s">
        <v>47</v>
      </c>
      <c r="Q29" s="214" t="s">
        <v>52</v>
      </c>
      <c r="R29" s="243"/>
      <c r="S29" s="243"/>
      <c r="T29" s="243" t="s">
        <v>216</v>
      </c>
      <c r="U29" s="6"/>
      <c r="V29" s="18" t="s">
        <v>217</v>
      </c>
      <c r="W29" s="103"/>
      <c r="X29" s="1" t="s">
        <v>218</v>
      </c>
      <c r="Y29" s="1" t="s">
        <v>43</v>
      </c>
      <c r="Z29" s="1" t="s">
        <v>43</v>
      </c>
      <c r="AA29" s="1" t="s">
        <v>43</v>
      </c>
      <c r="AB29" s="99" t="s">
        <v>43</v>
      </c>
      <c r="AC29" s="15"/>
      <c r="AD29" s="16"/>
      <c r="AE29" s="16"/>
      <c r="AF29" s="16"/>
      <c r="AG29" s="16"/>
      <c r="AH29" s="16"/>
      <c r="AI29" s="16"/>
      <c r="AJ29" s="16"/>
      <c r="AK29" s="16"/>
      <c r="AL29" s="16"/>
      <c r="AM29" s="16"/>
      <c r="AN29" s="16"/>
      <c r="AO29" s="16"/>
      <c r="AP29" s="16"/>
      <c r="AQ29" s="16"/>
      <c r="AR29" s="16"/>
      <c r="AS29" s="16"/>
      <c r="AT29" s="16"/>
    </row>
    <row r="30" spans="1:46" s="16" customFormat="1" ht="93.75" customHeight="1">
      <c r="A30" s="214">
        <f t="shared" si="1"/>
        <v>29</v>
      </c>
      <c r="B30" s="214" t="s">
        <v>219</v>
      </c>
      <c r="C30" s="214" t="s">
        <v>39</v>
      </c>
      <c r="D30" s="260"/>
      <c r="E30" s="260" t="s">
        <v>220</v>
      </c>
      <c r="F30" s="257" t="s">
        <v>221</v>
      </c>
      <c r="G30" s="259" t="e">
        <f>SUBSTITUTE(VLOOKUP(B30,VN_Emails!B:H,2,0),"@mapactive.vn","")</f>
        <v>#N/A</v>
      </c>
      <c r="H30" s="259" t="s">
        <v>73</v>
      </c>
      <c r="I30" s="214" t="str">
        <f t="shared" si="0"/>
        <v>Laptop Lenovo Thinkpad X280</v>
      </c>
      <c r="J30" s="214" t="s">
        <v>48</v>
      </c>
      <c r="K30" s="214" t="s">
        <v>57</v>
      </c>
      <c r="L30" s="214" t="s">
        <v>222</v>
      </c>
      <c r="M30" s="214" t="s">
        <v>223</v>
      </c>
      <c r="N30" s="214">
        <v>8</v>
      </c>
      <c r="O30" s="243">
        <v>256</v>
      </c>
      <c r="P30" s="214" t="s">
        <v>47</v>
      </c>
      <c r="Q30" s="214" t="s">
        <v>58</v>
      </c>
      <c r="R30" s="214"/>
      <c r="S30" s="214"/>
      <c r="T30" s="269" t="s">
        <v>224</v>
      </c>
      <c r="U30" s="111"/>
      <c r="V30" s="78" t="s">
        <v>225</v>
      </c>
      <c r="W30" s="12"/>
      <c r="X30" s="55" t="s">
        <v>226</v>
      </c>
      <c r="Y30" s="1" t="s">
        <v>43</v>
      </c>
      <c r="Z30" s="1" t="s">
        <v>43</v>
      </c>
      <c r="AA30" s="1" t="s">
        <v>43</v>
      </c>
      <c r="AB30" s="99" t="s">
        <v>43</v>
      </c>
      <c r="AC30" s="15" t="s">
        <v>43</v>
      </c>
    </row>
    <row r="31" spans="1:46" ht="102.75" customHeight="1">
      <c r="A31" s="214">
        <f t="shared" si="1"/>
        <v>30</v>
      </c>
      <c r="B31" s="214" t="s">
        <v>227</v>
      </c>
      <c r="C31" s="214" t="s">
        <v>39</v>
      </c>
      <c r="D31" s="260" t="e">
        <f>VLOOKUP(B31,VN_Emails!B:H,4,0)</f>
        <v>#N/A</v>
      </c>
      <c r="E31" s="260" t="e">
        <f>VLOOKUP(B31,VN_Emails!B:H,7,0)</f>
        <v>#N/A</v>
      </c>
      <c r="F31" s="257" t="s">
        <v>228</v>
      </c>
      <c r="G31" s="259" t="e">
        <f>SUBSTITUTE(VLOOKUP(B31,VN_Emails!B:H,2,0),"@mapactive.vn","")</f>
        <v>#N/A</v>
      </c>
      <c r="H31" s="259" t="s">
        <v>73</v>
      </c>
      <c r="I31" s="214" t="str">
        <f t="shared" si="0"/>
        <v>Laptop Dell Latitude 5420</v>
      </c>
      <c r="J31" s="214" t="s">
        <v>48</v>
      </c>
      <c r="K31" s="214" t="s">
        <v>51</v>
      </c>
      <c r="L31" s="214" t="s">
        <v>87</v>
      </c>
      <c r="M31" s="243" t="s">
        <v>229</v>
      </c>
      <c r="N31" s="243">
        <v>8</v>
      </c>
      <c r="O31" s="214">
        <v>512</v>
      </c>
      <c r="P31" s="214" t="s">
        <v>230</v>
      </c>
      <c r="Q31" s="214" t="s">
        <v>63</v>
      </c>
      <c r="R31" s="243"/>
      <c r="S31" s="243"/>
      <c r="T31" s="270"/>
      <c r="U31" s="56"/>
      <c r="V31" s="79"/>
      <c r="W31" s="106"/>
      <c r="X31" s="1" t="s">
        <v>231</v>
      </c>
      <c r="Y31" s="1" t="s">
        <v>43</v>
      </c>
      <c r="Z31" s="1" t="s">
        <v>43</v>
      </c>
      <c r="AA31" s="1" t="s">
        <v>43</v>
      </c>
      <c r="AB31" s="99" t="s">
        <v>43</v>
      </c>
      <c r="AC31" s="15"/>
      <c r="AD31" s="16"/>
      <c r="AE31" s="16"/>
      <c r="AF31" s="16"/>
      <c r="AG31" s="16"/>
      <c r="AH31" s="16"/>
      <c r="AI31" s="16"/>
      <c r="AJ31" s="16"/>
      <c r="AK31" s="16"/>
      <c r="AL31" s="16"/>
      <c r="AM31" s="16"/>
      <c r="AN31" s="16"/>
      <c r="AO31" s="16"/>
      <c r="AP31" s="16"/>
      <c r="AQ31" s="16"/>
      <c r="AR31" s="16"/>
      <c r="AS31" s="16"/>
      <c r="AT31" s="16"/>
    </row>
    <row r="32" spans="1:46" ht="123" customHeight="1">
      <c r="A32" s="214">
        <f t="shared" si="1"/>
        <v>31</v>
      </c>
      <c r="B32" s="214" t="s">
        <v>232</v>
      </c>
      <c r="C32" s="214" t="s">
        <v>44</v>
      </c>
      <c r="D32" s="260" t="str">
        <f>VLOOKUP(B32,VN_Emails!B:H,4,0)</f>
        <v>Vu Xuan Uyen</v>
      </c>
      <c r="E32" s="260" t="str">
        <f>VLOOKUP(B32,VN_Emails!B:H,7,0)</f>
        <v>Marketing officer</v>
      </c>
      <c r="F32" s="257" t="s">
        <v>233</v>
      </c>
      <c r="G32" s="259" t="str">
        <f>SUBSTITUTE(VLOOKUP(B32,VN_Emails!B:H,2,0),"@mapactive.vn","")</f>
        <v>uyen.vuxuan</v>
      </c>
      <c r="H32" s="259" t="s">
        <v>73</v>
      </c>
      <c r="I32" s="214" t="str">
        <f t="shared" si="0"/>
        <v>Laptop Dell Latitude 3420</v>
      </c>
      <c r="J32" s="214" t="s">
        <v>48</v>
      </c>
      <c r="K32" s="214" t="s">
        <v>51</v>
      </c>
      <c r="L32" s="214" t="s">
        <v>106</v>
      </c>
      <c r="M32" s="243" t="s">
        <v>234</v>
      </c>
      <c r="N32" s="243">
        <v>8</v>
      </c>
      <c r="O32" s="243">
        <v>640</v>
      </c>
      <c r="P32" s="243" t="s">
        <v>235</v>
      </c>
      <c r="Q32" s="214" t="s">
        <v>63</v>
      </c>
      <c r="R32" s="243"/>
      <c r="S32" s="243"/>
      <c r="T32" s="243" t="s">
        <v>236</v>
      </c>
      <c r="U32" s="6"/>
      <c r="V32" s="18"/>
      <c r="W32" s="103" t="s">
        <v>91</v>
      </c>
      <c r="X32" s="1" t="s">
        <v>237</v>
      </c>
      <c r="Y32" s="1" t="s">
        <v>43</v>
      </c>
      <c r="Z32" s="1" t="s">
        <v>43</v>
      </c>
      <c r="AA32" s="1" t="s">
        <v>43</v>
      </c>
      <c r="AB32" s="99" t="s">
        <v>43</v>
      </c>
      <c r="AC32" s="15"/>
      <c r="AD32" s="16"/>
      <c r="AE32" s="16"/>
      <c r="AF32" s="16"/>
      <c r="AG32" s="16"/>
      <c r="AH32" s="16"/>
      <c r="AI32" s="16"/>
      <c r="AJ32" s="16"/>
      <c r="AK32" s="16"/>
      <c r="AL32" s="16"/>
      <c r="AM32" s="16"/>
      <c r="AN32" s="16"/>
      <c r="AO32" s="16"/>
      <c r="AP32" s="16"/>
      <c r="AQ32" s="16"/>
      <c r="AR32" s="16"/>
      <c r="AS32" s="16"/>
      <c r="AT32" s="16"/>
    </row>
    <row r="33" spans="1:46" ht="136.5" customHeight="1">
      <c r="A33" s="214">
        <f t="shared" si="1"/>
        <v>32</v>
      </c>
      <c r="B33" s="214" t="s">
        <v>238</v>
      </c>
      <c r="C33" s="214" t="s">
        <v>39</v>
      </c>
      <c r="D33" s="260" t="e">
        <f>VLOOKUP(B33,VN_Emails!B:H,4,0)</f>
        <v>#N/A</v>
      </c>
      <c r="E33" s="260" t="e">
        <f>VLOOKUP(B33,VN_Emails!B:H,7,0)</f>
        <v>#N/A</v>
      </c>
      <c r="F33" s="257" t="s">
        <v>239</v>
      </c>
      <c r="G33" s="259" t="e">
        <f>SUBSTITUTE(VLOOKUP(B33,VN_Emails!B:H,2,0),"@mapactive.vn","")</f>
        <v>#N/A</v>
      </c>
      <c r="H33" s="259" t="s">
        <v>73</v>
      </c>
      <c r="I33" s="214" t="str">
        <f t="shared" si="0"/>
        <v>Laptop Dell Latitude 3520</v>
      </c>
      <c r="J33" s="214" t="s">
        <v>48</v>
      </c>
      <c r="K33" s="214" t="s">
        <v>51</v>
      </c>
      <c r="L33" s="214" t="s">
        <v>50</v>
      </c>
      <c r="M33" s="243" t="s">
        <v>240</v>
      </c>
      <c r="N33" s="243">
        <v>8</v>
      </c>
      <c r="O33" s="243">
        <v>256</v>
      </c>
      <c r="P33" s="214" t="s">
        <v>47</v>
      </c>
      <c r="Q33" s="214" t="s">
        <v>52</v>
      </c>
      <c r="R33" s="243"/>
      <c r="S33" s="243"/>
      <c r="T33" s="243"/>
      <c r="U33" s="6"/>
      <c r="V33" s="18"/>
      <c r="W33" s="103"/>
      <c r="X33" s="1" t="s">
        <v>241</v>
      </c>
      <c r="Y33" s="1" t="s">
        <v>43</v>
      </c>
      <c r="Z33" s="1" t="s">
        <v>43</v>
      </c>
      <c r="AA33" s="1" t="s">
        <v>43</v>
      </c>
      <c r="AB33" s="99" t="s">
        <v>43</v>
      </c>
      <c r="AC33" s="15"/>
      <c r="AD33" s="16"/>
      <c r="AE33" s="16"/>
      <c r="AF33" s="16"/>
      <c r="AG33" s="16"/>
      <c r="AH33" s="16"/>
      <c r="AI33" s="16"/>
      <c r="AJ33" s="16"/>
      <c r="AK33" s="16"/>
      <c r="AL33" s="16"/>
      <c r="AM33" s="16"/>
      <c r="AN33" s="16"/>
      <c r="AO33" s="16"/>
      <c r="AP33" s="16"/>
      <c r="AQ33" s="16"/>
      <c r="AR33" s="16"/>
      <c r="AS33" s="16"/>
      <c r="AT33" s="16"/>
    </row>
    <row r="34" spans="1:46" ht="105.75" customHeight="1">
      <c r="A34" s="214">
        <f t="shared" si="1"/>
        <v>33</v>
      </c>
      <c r="B34" s="214" t="s">
        <v>242</v>
      </c>
      <c r="C34" s="214" t="s">
        <v>44</v>
      </c>
      <c r="D34" s="260" t="str">
        <f>VLOOKUP(B34,VN_Emails!B:H,4,0)</f>
        <v>Tran A giang</v>
      </c>
      <c r="E34" s="260" t="str">
        <f>VLOOKUP(B34,VN_Emails!B:H,7,0)</f>
        <v xml:space="preserve">Intern </v>
      </c>
      <c r="F34" s="257" t="s">
        <v>243</v>
      </c>
      <c r="G34" s="259" t="str">
        <f>SUBSTITUTE(VLOOKUP(B34,VN_Emails!B:H,2,0),"@mapactive.vn","")</f>
        <v>giang.trana</v>
      </c>
      <c r="H34" s="259" t="s">
        <v>73</v>
      </c>
      <c r="I34" s="214" t="str">
        <f t="shared" ref="I34:I65" si="2">J34&amp;" "&amp;K34&amp;" "&amp;L34</f>
        <v>Laptop Dell Latitude 3520</v>
      </c>
      <c r="J34" s="214" t="s">
        <v>48</v>
      </c>
      <c r="K34" s="214" t="s">
        <v>51</v>
      </c>
      <c r="L34" s="214" t="s">
        <v>50</v>
      </c>
      <c r="M34" s="243" t="s">
        <v>244</v>
      </c>
      <c r="N34" s="243">
        <v>8</v>
      </c>
      <c r="O34" s="243">
        <v>256</v>
      </c>
      <c r="P34" s="214" t="s">
        <v>47</v>
      </c>
      <c r="Q34" s="214" t="s">
        <v>63</v>
      </c>
      <c r="R34" s="243"/>
      <c r="S34" s="243"/>
      <c r="T34" s="243"/>
      <c r="U34" s="6"/>
      <c r="V34" s="18"/>
      <c r="W34" s="103"/>
      <c r="X34" s="1" t="s">
        <v>245</v>
      </c>
      <c r="Y34" s="1" t="s">
        <v>43</v>
      </c>
      <c r="Z34" s="1" t="s">
        <v>43</v>
      </c>
      <c r="AA34" s="1" t="s">
        <v>43</v>
      </c>
      <c r="AB34" s="99" t="s">
        <v>43</v>
      </c>
      <c r="AC34" s="15"/>
      <c r="AD34" s="16"/>
      <c r="AE34" s="16"/>
      <c r="AF34" s="16"/>
      <c r="AG34" s="16"/>
      <c r="AH34" s="16"/>
      <c r="AI34" s="16"/>
      <c r="AJ34" s="16"/>
      <c r="AK34" s="16"/>
      <c r="AL34" s="16"/>
      <c r="AM34" s="16"/>
      <c r="AN34" s="16"/>
      <c r="AO34" s="16"/>
      <c r="AP34" s="16"/>
      <c r="AQ34" s="16"/>
      <c r="AR34" s="16"/>
      <c r="AS34" s="16"/>
      <c r="AT34" s="16"/>
    </row>
    <row r="35" spans="1:46" ht="93.75" customHeight="1">
      <c r="A35" s="214">
        <f t="shared" si="1"/>
        <v>34</v>
      </c>
      <c r="B35" s="214" t="s">
        <v>246</v>
      </c>
      <c r="C35" s="214" t="s">
        <v>44</v>
      </c>
      <c r="D35" s="260" t="str">
        <f>VLOOKUP(B35,VN_Emails!B:H,4,0)</f>
        <v>Dang Thi Thanh Tam</v>
      </c>
      <c r="E35" s="260" t="str">
        <f>VLOOKUP(B35,VN_Emails!B:H,7,0)</f>
        <v>Brand Manager (NB, Crocs)</v>
      </c>
      <c r="F35" s="257" t="s">
        <v>247</v>
      </c>
      <c r="G35" s="259" t="str">
        <f>SUBSTITUTE(VLOOKUP(B35,VN_Emails!B:H,2,0),"@mapactive.vn","")</f>
        <v>tam.dangthithanh</v>
      </c>
      <c r="H35" s="259" t="s">
        <v>73</v>
      </c>
      <c r="I35" s="214" t="str">
        <f t="shared" si="2"/>
        <v>Laptop Dell Latitude 5420</v>
      </c>
      <c r="J35" s="214" t="s">
        <v>48</v>
      </c>
      <c r="K35" s="214" t="s">
        <v>51</v>
      </c>
      <c r="L35" s="214" t="s">
        <v>87</v>
      </c>
      <c r="M35" s="243" t="s">
        <v>248</v>
      </c>
      <c r="N35" s="243">
        <v>12</v>
      </c>
      <c r="O35" s="214">
        <v>512</v>
      </c>
      <c r="P35" s="214" t="s">
        <v>47</v>
      </c>
      <c r="Q35" s="214" t="s">
        <v>63</v>
      </c>
      <c r="R35" s="243"/>
      <c r="S35" s="243"/>
      <c r="T35" s="243"/>
      <c r="U35" s="6"/>
      <c r="V35" s="18"/>
      <c r="W35" s="103"/>
      <c r="X35" s="1" t="s">
        <v>249</v>
      </c>
      <c r="Y35" s="1" t="s">
        <v>43</v>
      </c>
      <c r="Z35" s="1" t="s">
        <v>43</v>
      </c>
      <c r="AA35" s="1" t="s">
        <v>43</v>
      </c>
      <c r="AB35" s="99" t="s">
        <v>43</v>
      </c>
      <c r="AC35" s="15"/>
      <c r="AD35" s="16"/>
      <c r="AE35" s="16"/>
      <c r="AF35" s="16"/>
      <c r="AG35" s="16"/>
      <c r="AH35" s="16"/>
      <c r="AI35" s="16"/>
      <c r="AJ35" s="16"/>
      <c r="AK35" s="16"/>
      <c r="AL35" s="16"/>
      <c r="AM35" s="16"/>
      <c r="AN35" s="16"/>
      <c r="AO35" s="16"/>
      <c r="AP35" s="16"/>
      <c r="AQ35" s="16"/>
      <c r="AR35" s="16"/>
      <c r="AS35" s="16"/>
      <c r="AT35" s="16"/>
    </row>
    <row r="36" spans="1:46" ht="102.75" customHeight="1">
      <c r="A36" s="214">
        <f t="shared" si="1"/>
        <v>35</v>
      </c>
      <c r="B36" s="214" t="s">
        <v>250</v>
      </c>
      <c r="C36" s="214" t="s">
        <v>251</v>
      </c>
      <c r="D36" s="260" t="s">
        <v>252</v>
      </c>
      <c r="E36" s="260" t="s">
        <v>253</v>
      </c>
      <c r="F36" s="257" t="s">
        <v>254</v>
      </c>
      <c r="G36" s="259"/>
      <c r="H36" s="259" t="s">
        <v>73</v>
      </c>
      <c r="I36" s="214" t="str">
        <f t="shared" si="2"/>
        <v>Laptop Lenovo Ideapad 5-15ITL05(82FG00M5VN)</v>
      </c>
      <c r="J36" s="214" t="s">
        <v>48</v>
      </c>
      <c r="K36" s="214" t="s">
        <v>57</v>
      </c>
      <c r="L36" s="214" t="s">
        <v>255</v>
      </c>
      <c r="M36" s="243" t="s">
        <v>256</v>
      </c>
      <c r="N36" s="243">
        <v>8</v>
      </c>
      <c r="O36" s="214">
        <v>512</v>
      </c>
      <c r="P36" s="214" t="s">
        <v>47</v>
      </c>
      <c r="Q36" s="214" t="s">
        <v>137</v>
      </c>
      <c r="R36" s="243"/>
      <c r="S36" s="243"/>
      <c r="T36" s="271" t="s">
        <v>257</v>
      </c>
      <c r="U36" s="18"/>
      <c r="V36" s="18" t="s">
        <v>258</v>
      </c>
      <c r="W36" s="103"/>
      <c r="X36" s="1" t="s">
        <v>259</v>
      </c>
      <c r="Y36" s="1" t="s">
        <v>43</v>
      </c>
      <c r="Z36" s="1" t="s">
        <v>43</v>
      </c>
      <c r="AA36" s="1" t="s">
        <v>43</v>
      </c>
      <c r="AB36" s="99" t="s">
        <v>43</v>
      </c>
      <c r="AC36" s="15"/>
      <c r="AD36" s="16"/>
      <c r="AE36" s="16"/>
      <c r="AF36" s="16"/>
      <c r="AG36" s="16"/>
      <c r="AH36" s="16"/>
      <c r="AI36" s="16"/>
      <c r="AJ36" s="16"/>
      <c r="AK36" s="16"/>
      <c r="AL36" s="16"/>
      <c r="AM36" s="16"/>
      <c r="AN36" s="16"/>
      <c r="AO36" s="16"/>
      <c r="AP36" s="16"/>
      <c r="AQ36" s="16"/>
      <c r="AR36" s="16"/>
      <c r="AS36" s="16"/>
      <c r="AT36" s="16"/>
    </row>
    <row r="37" spans="1:46" ht="49.5" customHeight="1">
      <c r="A37" s="214">
        <f t="shared" si="1"/>
        <v>36</v>
      </c>
      <c r="B37" s="299" t="s">
        <v>260</v>
      </c>
      <c r="C37" s="299" t="s">
        <v>44</v>
      </c>
      <c r="D37" s="300" t="str">
        <f>VLOOKUP(B37,VN_Emails!B:H,4,0)</f>
        <v>Nguyen Phuoc Thanh</v>
      </c>
      <c r="E37" s="300" t="str">
        <f>VLOOKUP(B37,VN_Emails!B:H,7,0)</f>
        <v>Merchandiser</v>
      </c>
      <c r="F37" s="301" t="s">
        <v>261</v>
      </c>
      <c r="G37" s="302" t="str">
        <f>SUBSTITUTE(VLOOKUP(B37,VN_Emails!B:H,2,0),"@mapactive.vn","")</f>
        <v>thanh.nguyenphuoc</v>
      </c>
      <c r="H37" s="302" t="s">
        <v>73</v>
      </c>
      <c r="I37" s="299" t="str">
        <f t="shared" si="2"/>
        <v>Laptop Dell Latitude 3520</v>
      </c>
      <c r="J37" s="299" t="s">
        <v>48</v>
      </c>
      <c r="K37" s="299" t="s">
        <v>51</v>
      </c>
      <c r="L37" s="299" t="s">
        <v>50</v>
      </c>
      <c r="M37" s="299" t="s">
        <v>262</v>
      </c>
      <c r="N37" s="299">
        <v>12</v>
      </c>
      <c r="O37" s="299">
        <v>512</v>
      </c>
      <c r="P37" s="299" t="s">
        <v>47</v>
      </c>
      <c r="Q37" s="299" t="s">
        <v>63</v>
      </c>
      <c r="R37" s="299"/>
      <c r="S37" s="299"/>
      <c r="T37" s="299"/>
      <c r="U37" s="303"/>
      <c r="V37" s="304"/>
      <c r="W37" s="305"/>
      <c r="X37" s="306" t="s">
        <v>263</v>
      </c>
      <c r="Y37" s="306" t="s">
        <v>43</v>
      </c>
      <c r="Z37" s="306" t="s">
        <v>43</v>
      </c>
      <c r="AA37" s="306" t="s">
        <v>43</v>
      </c>
      <c r="AB37" s="307" t="s">
        <v>43</v>
      </c>
      <c r="AC37" s="308"/>
      <c r="AD37" s="16"/>
      <c r="AE37" s="16"/>
      <c r="AF37" s="16"/>
      <c r="AG37" s="16"/>
      <c r="AH37" s="16"/>
      <c r="AI37" s="16"/>
      <c r="AJ37" s="16"/>
      <c r="AK37" s="16"/>
      <c r="AL37" s="16"/>
      <c r="AM37" s="16"/>
      <c r="AN37" s="16"/>
      <c r="AO37" s="16"/>
      <c r="AP37" s="16"/>
      <c r="AQ37" s="16"/>
      <c r="AR37" s="16"/>
      <c r="AS37" s="16"/>
      <c r="AT37" s="16"/>
    </row>
    <row r="38" spans="1:46" ht="75" customHeight="1">
      <c r="A38" s="243">
        <f t="shared" si="1"/>
        <v>37</v>
      </c>
      <c r="B38" s="214" t="s">
        <v>264</v>
      </c>
      <c r="C38" s="243" t="s">
        <v>44</v>
      </c>
      <c r="D38" s="260" t="str">
        <f>VLOOKUP(B38,VN_Emails!B:H,4,0)</f>
        <v>Ngo Thi Bich Tram</v>
      </c>
      <c r="E38" s="256" t="s">
        <v>265</v>
      </c>
      <c r="F38" s="257" t="s">
        <v>266</v>
      </c>
      <c r="G38" s="272" t="str">
        <f>SUBSTITUTE(VLOOKUP(B38,VN_Emails!B:H,2,0),"@mapactive.vn","")</f>
        <v>tram.ngothibich</v>
      </c>
      <c r="H38" s="259" t="s">
        <v>73</v>
      </c>
      <c r="I38" s="243" t="str">
        <f t="shared" si="2"/>
        <v>Laptop Dell Latitude 5430</v>
      </c>
      <c r="J38" s="243" t="s">
        <v>48</v>
      </c>
      <c r="K38" s="243" t="s">
        <v>51</v>
      </c>
      <c r="L38" s="243" t="s">
        <v>95</v>
      </c>
      <c r="M38" s="243" t="s">
        <v>267</v>
      </c>
      <c r="N38" s="243">
        <v>16</v>
      </c>
      <c r="O38" s="243">
        <v>512</v>
      </c>
      <c r="P38" s="243" t="s">
        <v>47</v>
      </c>
      <c r="Q38" s="243" t="s">
        <v>49</v>
      </c>
      <c r="R38" s="243"/>
      <c r="S38" s="243"/>
      <c r="T38" s="243"/>
      <c r="U38" s="6"/>
      <c r="V38" s="18" t="s">
        <v>268</v>
      </c>
      <c r="W38" s="103"/>
      <c r="X38" s="1" t="s">
        <v>269</v>
      </c>
      <c r="Y38" s="1" t="s">
        <v>43</v>
      </c>
      <c r="Z38" s="1" t="s">
        <v>43</v>
      </c>
      <c r="AA38" s="1" t="s">
        <v>43</v>
      </c>
      <c r="AB38" s="99" t="s">
        <v>43</v>
      </c>
      <c r="AC38" s="15"/>
      <c r="AD38" s="16"/>
      <c r="AE38" s="16"/>
      <c r="AF38" s="16"/>
      <c r="AG38" s="16"/>
      <c r="AH38" s="16"/>
      <c r="AI38" s="16"/>
      <c r="AJ38" s="16"/>
      <c r="AK38" s="16"/>
      <c r="AL38" s="16"/>
      <c r="AM38" s="16"/>
      <c r="AN38" s="16"/>
      <c r="AO38" s="16"/>
      <c r="AP38" s="16"/>
      <c r="AQ38" s="16"/>
      <c r="AR38" s="16"/>
      <c r="AS38" s="16"/>
      <c r="AT38" s="16"/>
    </row>
    <row r="39" spans="1:46" customFormat="1" ht="42.75" customHeight="1">
      <c r="A39" s="214" t="s">
        <v>270</v>
      </c>
      <c r="B39" s="214" t="s">
        <v>271</v>
      </c>
      <c r="C39" s="214" t="s">
        <v>44</v>
      </c>
      <c r="D39" s="260" t="str">
        <f>VLOOKUP(B39,VN_Emails!B:H,4,0)</f>
        <v>Le Ngoc Bich Tram</v>
      </c>
      <c r="E39" s="260" t="str">
        <f>VLOOKUP(B39,VN_Emails!B:H,7,0)</f>
        <v>Marketing Supervisor (Foot Locker)</v>
      </c>
      <c r="F39" s="257" t="s">
        <v>272</v>
      </c>
      <c r="G39" s="259" t="str">
        <f>SUBSTITUTE(VLOOKUP(B39,VN_Emails!B:H,2,0),"@mapactive.vn","")</f>
        <v>tram.lengocbich</v>
      </c>
      <c r="H39" s="259" t="s">
        <v>73</v>
      </c>
      <c r="I39" s="214" t="str">
        <f t="shared" si="2"/>
        <v>Laptop Dell Latitude 3520</v>
      </c>
      <c r="J39" s="214" t="s">
        <v>48</v>
      </c>
      <c r="K39" s="214" t="s">
        <v>51</v>
      </c>
      <c r="L39" s="214" t="s">
        <v>50</v>
      </c>
      <c r="M39" s="243" t="s">
        <v>273</v>
      </c>
      <c r="N39" s="243">
        <v>20</v>
      </c>
      <c r="O39" s="243" t="s">
        <v>274</v>
      </c>
      <c r="P39" s="214" t="s">
        <v>47</v>
      </c>
      <c r="Q39" s="214" t="s">
        <v>63</v>
      </c>
      <c r="R39" s="243"/>
      <c r="S39" s="243"/>
      <c r="T39" s="243"/>
      <c r="U39" s="6"/>
      <c r="V39" s="18" t="s">
        <v>275</v>
      </c>
      <c r="W39" s="103"/>
      <c r="X39" s="1" t="s">
        <v>276</v>
      </c>
      <c r="Y39" s="1" t="s">
        <v>43</v>
      </c>
      <c r="Z39" s="1" t="s">
        <v>43</v>
      </c>
      <c r="AA39" s="1" t="s">
        <v>43</v>
      </c>
      <c r="AB39" s="99" t="s">
        <v>43</v>
      </c>
      <c r="AC39" s="15"/>
      <c r="AD39" s="16"/>
      <c r="AE39" s="16"/>
      <c r="AF39" s="16"/>
      <c r="AG39" s="16"/>
      <c r="AH39" s="16"/>
      <c r="AI39" s="16"/>
      <c r="AJ39" s="16"/>
      <c r="AK39" s="16"/>
      <c r="AL39" s="16"/>
      <c r="AM39" s="16"/>
      <c r="AN39" s="16"/>
      <c r="AO39" s="16"/>
      <c r="AP39" s="16"/>
      <c r="AQ39" s="16"/>
      <c r="AR39" s="16"/>
      <c r="AS39" s="16"/>
      <c r="AT39" s="16"/>
    </row>
    <row r="40" spans="1:46" ht="43.2">
      <c r="A40" s="243" t="e">
        <f>#REF!+1</f>
        <v>#REF!</v>
      </c>
      <c r="B40" s="214" t="s">
        <v>277</v>
      </c>
      <c r="C40" s="243" t="s">
        <v>44</v>
      </c>
      <c r="D40" s="256" t="str">
        <f>VLOOKUP(B40,VN_Emails!B:H,4,0)</f>
        <v xml:space="preserve">Nguyen Thi Tuyet Nhung </v>
      </c>
      <c r="E40" s="256" t="s">
        <v>278</v>
      </c>
      <c r="F40" s="257" t="s">
        <v>279</v>
      </c>
      <c r="G40" s="243" t="s">
        <v>280</v>
      </c>
      <c r="H40" s="259" t="s">
        <v>73</v>
      </c>
      <c r="I40" s="243" t="str">
        <f t="shared" si="2"/>
        <v>Laptop Dell Latitude 5430</v>
      </c>
      <c r="J40" s="243" t="s">
        <v>48</v>
      </c>
      <c r="K40" s="243" t="s">
        <v>51</v>
      </c>
      <c r="L40" s="243" t="s">
        <v>95</v>
      </c>
      <c r="M40" s="243" t="s">
        <v>281</v>
      </c>
      <c r="N40" s="243">
        <v>16</v>
      </c>
      <c r="O40" s="243">
        <v>512</v>
      </c>
      <c r="P40" s="243" t="s">
        <v>47</v>
      </c>
      <c r="Q40" s="243" t="s">
        <v>49</v>
      </c>
      <c r="R40" s="243"/>
      <c r="S40" s="243"/>
      <c r="T40" s="243" t="s">
        <v>282</v>
      </c>
      <c r="U40" s="6"/>
      <c r="V40" s="18" t="s">
        <v>283</v>
      </c>
      <c r="W40" s="103" t="s">
        <v>185</v>
      </c>
      <c r="X40" s="1" t="s">
        <v>284</v>
      </c>
      <c r="Y40" s="1" t="s">
        <v>43</v>
      </c>
      <c r="Z40" s="1" t="s">
        <v>43</v>
      </c>
      <c r="AA40" s="1" t="s">
        <v>43</v>
      </c>
      <c r="AB40" s="99" t="s">
        <v>43</v>
      </c>
      <c r="AC40" s="1" t="s">
        <v>43</v>
      </c>
      <c r="AD40" s="16"/>
      <c r="AE40" s="16"/>
      <c r="AF40" s="16"/>
      <c r="AG40" s="16"/>
      <c r="AH40" s="16"/>
      <c r="AI40" s="16"/>
      <c r="AJ40" s="16"/>
      <c r="AK40" s="16"/>
      <c r="AL40" s="16"/>
      <c r="AM40" s="16"/>
      <c r="AN40" s="16"/>
      <c r="AO40" s="16"/>
      <c r="AP40" s="16"/>
      <c r="AQ40" s="16"/>
      <c r="AR40" s="16"/>
      <c r="AS40" s="16"/>
      <c r="AT40" s="16"/>
    </row>
    <row r="41" spans="1:46" ht="27.6">
      <c r="A41" s="214" t="e">
        <f t="shared" ref="A41:A66" si="3">A40+1</f>
        <v>#REF!</v>
      </c>
      <c r="B41" s="214" t="s">
        <v>285</v>
      </c>
      <c r="C41" s="214" t="s">
        <v>44</v>
      </c>
      <c r="D41" s="260" t="str">
        <f>VLOOKUP(B41,VN_Emails!B:H,4,0)</f>
        <v>Tran Duy Dien</v>
      </c>
      <c r="E41" s="260" t="str">
        <f>VLOOKUP(B41,VN_Emails!B:H,7,0)</f>
        <v xml:space="preserve">Inventory Control </v>
      </c>
      <c r="F41" s="273" t="s">
        <v>286</v>
      </c>
      <c r="G41" s="259" t="str">
        <f>SUBSTITUTE(VLOOKUP(B41,VN_Emails!B:H,2,0),"@mapactive.vn","")</f>
        <v>dien.tranduy</v>
      </c>
      <c r="H41" s="259" t="s">
        <v>73</v>
      </c>
      <c r="I41" s="214" t="str">
        <f t="shared" si="2"/>
        <v>Laptop Dell Latitude 3520</v>
      </c>
      <c r="J41" s="214" t="s">
        <v>48</v>
      </c>
      <c r="K41" s="214" t="s">
        <v>51</v>
      </c>
      <c r="L41" s="214" t="s">
        <v>50</v>
      </c>
      <c r="M41" s="243" t="s">
        <v>287</v>
      </c>
      <c r="N41" s="243">
        <v>8</v>
      </c>
      <c r="O41" s="243">
        <v>256</v>
      </c>
      <c r="P41" s="214" t="s">
        <v>47</v>
      </c>
      <c r="Q41" s="214" t="s">
        <v>63</v>
      </c>
      <c r="R41" s="243"/>
      <c r="S41" s="243"/>
      <c r="T41" s="260"/>
      <c r="U41" s="15"/>
      <c r="V41" s="19"/>
      <c r="W41" s="104"/>
      <c r="X41" s="55" t="s">
        <v>288</v>
      </c>
      <c r="Y41" s="1" t="s">
        <v>43</v>
      </c>
      <c r="Z41" s="1" t="s">
        <v>43</v>
      </c>
      <c r="AA41" s="1" t="s">
        <v>43</v>
      </c>
      <c r="AB41" s="99" t="s">
        <v>43</v>
      </c>
      <c r="AC41" s="11"/>
    </row>
    <row r="42" spans="1:46" ht="43.2">
      <c r="A42" s="214" t="e">
        <f t="shared" si="3"/>
        <v>#REF!</v>
      </c>
      <c r="B42" s="214" t="s">
        <v>289</v>
      </c>
      <c r="C42" s="214" t="s">
        <v>44</v>
      </c>
      <c r="D42" s="221" t="s">
        <v>290</v>
      </c>
      <c r="E42" s="260" t="s">
        <v>291</v>
      </c>
      <c r="F42" s="257" t="s">
        <v>292</v>
      </c>
      <c r="G42" s="258"/>
      <c r="H42" s="259" t="s">
        <v>73</v>
      </c>
      <c r="I42" s="214" t="str">
        <f t="shared" si="2"/>
        <v>Laptop Dell Latitude 3520</v>
      </c>
      <c r="J42" s="214" t="s">
        <v>48</v>
      </c>
      <c r="K42" s="214" t="s">
        <v>51</v>
      </c>
      <c r="L42" s="214" t="s">
        <v>50</v>
      </c>
      <c r="M42" s="243" t="s">
        <v>293</v>
      </c>
      <c r="N42" s="243">
        <v>8</v>
      </c>
      <c r="O42" s="243">
        <v>256</v>
      </c>
      <c r="P42" s="214" t="s">
        <v>47</v>
      </c>
      <c r="Q42" s="214" t="s">
        <v>63</v>
      </c>
      <c r="R42" s="243"/>
      <c r="S42" s="243"/>
      <c r="T42" s="214" t="s">
        <v>294</v>
      </c>
      <c r="U42" s="12"/>
      <c r="V42" s="66" t="s">
        <v>295</v>
      </c>
      <c r="W42" s="22"/>
      <c r="X42" s="1" t="s">
        <v>296</v>
      </c>
      <c r="Y42" s="1" t="s">
        <v>43</v>
      </c>
      <c r="Z42" s="1" t="s">
        <v>43</v>
      </c>
      <c r="AA42" s="1" t="s">
        <v>43</v>
      </c>
      <c r="AB42" s="99" t="s">
        <v>43</v>
      </c>
      <c r="AC42" s="15"/>
      <c r="AD42" s="16"/>
      <c r="AE42" s="16"/>
      <c r="AF42" s="16"/>
      <c r="AG42" s="16"/>
      <c r="AH42" s="16"/>
      <c r="AI42" s="16"/>
      <c r="AJ42" s="16"/>
      <c r="AK42" s="16"/>
      <c r="AL42" s="16"/>
      <c r="AM42" s="16"/>
      <c r="AN42" s="16"/>
      <c r="AO42" s="16"/>
      <c r="AP42" s="16"/>
      <c r="AQ42" s="16"/>
      <c r="AR42" s="16"/>
      <c r="AS42" s="16"/>
      <c r="AT42" s="16"/>
    </row>
    <row r="43" spans="1:46" ht="27.6">
      <c r="A43" s="214" t="e">
        <f t="shared" si="3"/>
        <v>#REF!</v>
      </c>
      <c r="B43" s="214" t="s">
        <v>297</v>
      </c>
      <c r="C43" s="214" t="s">
        <v>44</v>
      </c>
      <c r="D43" s="260" t="str">
        <f>VLOOKUP(B43,VN_Emails!B:H,4,0)</f>
        <v>Tran Ngoc Doan Trinh</v>
      </c>
      <c r="E43" s="260" t="str">
        <f>VLOOKUP(B43,VN_Emails!B:H,7,0)</f>
        <v>Senior Merchandise</v>
      </c>
      <c r="F43" s="257" t="s">
        <v>298</v>
      </c>
      <c r="G43" s="259" t="str">
        <f>SUBSTITUTE(VLOOKUP(B43,VN_Emails!B:H,2,0),"@mapactive.vn","")</f>
        <v>trinh.tranngocdoan</v>
      </c>
      <c r="H43" s="259" t="s">
        <v>73</v>
      </c>
      <c r="I43" s="214" t="str">
        <f t="shared" si="2"/>
        <v>Laptop Dell Latitude 3520</v>
      </c>
      <c r="J43" s="214" t="s">
        <v>48</v>
      </c>
      <c r="K43" s="214" t="s">
        <v>51</v>
      </c>
      <c r="L43" s="214" t="s">
        <v>50</v>
      </c>
      <c r="M43" s="243" t="s">
        <v>299</v>
      </c>
      <c r="N43" s="243">
        <v>16</v>
      </c>
      <c r="O43" s="243">
        <v>256</v>
      </c>
      <c r="P43" s="214" t="s">
        <v>47</v>
      </c>
      <c r="Q43" s="214" t="s">
        <v>63</v>
      </c>
      <c r="R43" s="243"/>
      <c r="S43" s="243"/>
      <c r="T43" s="243"/>
      <c r="U43" s="6"/>
      <c r="V43" s="18"/>
      <c r="W43" s="103"/>
      <c r="X43" s="1" t="s">
        <v>300</v>
      </c>
      <c r="Y43" s="1" t="s">
        <v>43</v>
      </c>
      <c r="Z43" s="1" t="s">
        <v>43</v>
      </c>
      <c r="AA43" s="1" t="s">
        <v>43</v>
      </c>
      <c r="AB43" s="99" t="s">
        <v>43</v>
      </c>
      <c r="AC43" s="15"/>
      <c r="AD43" s="16"/>
      <c r="AE43" s="16"/>
      <c r="AF43" s="16"/>
      <c r="AG43" s="16"/>
      <c r="AH43" s="16"/>
      <c r="AI43" s="16"/>
      <c r="AJ43" s="16"/>
      <c r="AK43" s="16"/>
      <c r="AL43" s="16"/>
      <c r="AM43" s="16"/>
      <c r="AN43" s="16"/>
      <c r="AO43" s="16"/>
      <c r="AP43" s="16"/>
      <c r="AQ43" s="16"/>
      <c r="AR43" s="16"/>
      <c r="AS43" s="16"/>
      <c r="AT43" s="16"/>
    </row>
    <row r="44" spans="1:46" ht="69">
      <c r="A44" s="214" t="e">
        <f t="shared" si="3"/>
        <v>#REF!</v>
      </c>
      <c r="B44" s="214" t="s">
        <v>301</v>
      </c>
      <c r="C44" s="214" t="s">
        <v>39</v>
      </c>
      <c r="D44" s="260" t="e">
        <f>VLOOKUP(B44,VN_Emails!B:H,4,0)</f>
        <v>#N/A</v>
      </c>
      <c r="E44" s="260" t="e">
        <f>VLOOKUP(B44,VN_Emails!B:H,7,0)</f>
        <v>#N/A</v>
      </c>
      <c r="F44" s="257" t="s">
        <v>302</v>
      </c>
      <c r="G44" s="259" t="e">
        <f>SUBSTITUTE(VLOOKUP(B44,VN_Emails!B:H,2,0),"@mapactive.vn","")</f>
        <v>#N/A</v>
      </c>
      <c r="H44" s="259" t="s">
        <v>73</v>
      </c>
      <c r="I44" s="214" t="str">
        <f t="shared" si="2"/>
        <v>Laptop Dell Latitude 7490</v>
      </c>
      <c r="J44" s="214" t="s">
        <v>48</v>
      </c>
      <c r="K44" s="214" t="s">
        <v>51</v>
      </c>
      <c r="L44" s="214" t="s">
        <v>303</v>
      </c>
      <c r="M44" s="243" t="s">
        <v>304</v>
      </c>
      <c r="N44" s="243">
        <v>16</v>
      </c>
      <c r="O44" s="243">
        <v>256</v>
      </c>
      <c r="P44" s="214" t="s">
        <v>47</v>
      </c>
      <c r="Q44" s="214" t="s">
        <v>305</v>
      </c>
      <c r="R44" s="243"/>
      <c r="S44" s="243"/>
      <c r="T44" s="243" t="s">
        <v>306</v>
      </c>
      <c r="U44" s="6"/>
      <c r="V44" s="18" t="s">
        <v>307</v>
      </c>
      <c r="W44" s="103"/>
      <c r="X44" s="1" t="s">
        <v>308</v>
      </c>
      <c r="Y44" s="1" t="s">
        <v>43</v>
      </c>
      <c r="Z44" s="1" t="s">
        <v>43</v>
      </c>
      <c r="AA44" s="1" t="s">
        <v>43</v>
      </c>
      <c r="AB44" s="99" t="s">
        <v>43</v>
      </c>
      <c r="AC44" s="15"/>
      <c r="AD44" s="16"/>
      <c r="AE44" s="16"/>
      <c r="AF44" s="16"/>
      <c r="AG44" s="16"/>
      <c r="AH44" s="16"/>
      <c r="AI44" s="16"/>
      <c r="AJ44" s="16"/>
      <c r="AK44" s="16"/>
      <c r="AL44" s="16"/>
      <c r="AM44" s="16"/>
      <c r="AN44" s="16"/>
      <c r="AO44" s="16"/>
      <c r="AP44" s="16"/>
      <c r="AQ44" s="16"/>
      <c r="AR44" s="16"/>
      <c r="AS44" s="16"/>
      <c r="AT44" s="16"/>
    </row>
    <row r="45" spans="1:46" s="16" customFormat="1" ht="64.5" customHeight="1">
      <c r="A45" s="214" t="e">
        <f t="shared" si="3"/>
        <v>#REF!</v>
      </c>
      <c r="B45" s="214" t="s">
        <v>309</v>
      </c>
      <c r="C45" s="214" t="s">
        <v>39</v>
      </c>
      <c r="D45" s="260" t="e">
        <f>VLOOKUP(B45,VN_Emails!B:H,4,0)</f>
        <v>#N/A</v>
      </c>
      <c r="E45" s="260" t="e">
        <f>VLOOKUP(B45,VN_Emails!B:H,7,0)</f>
        <v>#N/A</v>
      </c>
      <c r="F45" s="257" t="s">
        <v>310</v>
      </c>
      <c r="G45" s="259" t="e">
        <f>SUBSTITUTE(VLOOKUP(B45,VN_Emails!B:H,2,0),"@mapactive.vn","")</f>
        <v>#N/A</v>
      </c>
      <c r="H45" s="259" t="s">
        <v>73</v>
      </c>
      <c r="I45" s="214" t="str">
        <f t="shared" si="2"/>
        <v>Laptop HP Pavilion 15-eg0xxx</v>
      </c>
      <c r="J45" s="214" t="s">
        <v>48</v>
      </c>
      <c r="K45" s="214" t="s">
        <v>41</v>
      </c>
      <c r="L45" s="214" t="s">
        <v>135</v>
      </c>
      <c r="M45" s="214" t="s">
        <v>311</v>
      </c>
      <c r="N45" s="214">
        <v>12</v>
      </c>
      <c r="O45" s="243">
        <v>256</v>
      </c>
      <c r="P45" s="214" t="s">
        <v>47</v>
      </c>
      <c r="Q45" s="214" t="s">
        <v>61</v>
      </c>
      <c r="R45" s="214"/>
      <c r="S45" s="214"/>
      <c r="T45" s="214" t="s">
        <v>312</v>
      </c>
      <c r="U45" s="12"/>
      <c r="V45" s="18"/>
      <c r="W45" s="103"/>
      <c r="X45" s="55" t="s">
        <v>313</v>
      </c>
      <c r="Y45" s="1" t="s">
        <v>43</v>
      </c>
      <c r="Z45" s="1" t="s">
        <v>43</v>
      </c>
      <c r="AA45" s="1" t="s">
        <v>43</v>
      </c>
      <c r="AB45" s="99" t="s">
        <v>43</v>
      </c>
      <c r="AC45" s="15"/>
    </row>
    <row r="46" spans="1:46" ht="28.8">
      <c r="A46" s="243" t="e">
        <f t="shared" si="3"/>
        <v>#REF!</v>
      </c>
      <c r="B46" s="214" t="s">
        <v>314</v>
      </c>
      <c r="C46" s="243" t="s">
        <v>39</v>
      </c>
      <c r="D46" s="256" t="e">
        <f>VLOOKUP(B46,VN_Emails!B:H,4,0)</f>
        <v>#N/A</v>
      </c>
      <c r="E46" s="256" t="e">
        <f>VLOOKUP(B46,VN_Emails!B:H,7,0)</f>
        <v>#N/A</v>
      </c>
      <c r="F46" s="257" t="s">
        <v>315</v>
      </c>
      <c r="G46" s="258" t="e">
        <f>SUBSTITUTE(VLOOKUP(B46,VN_Emails!B:H,2,0),"@mapactive.vn","")</f>
        <v>#N/A</v>
      </c>
      <c r="H46" s="259" t="s">
        <v>73</v>
      </c>
      <c r="I46" s="243" t="str">
        <f t="shared" si="2"/>
        <v>Laptop Dell Latitude 5420</v>
      </c>
      <c r="J46" s="243" t="s">
        <v>48</v>
      </c>
      <c r="K46" s="243" t="s">
        <v>51</v>
      </c>
      <c r="L46" s="243" t="s">
        <v>87</v>
      </c>
      <c r="M46" s="243" t="s">
        <v>316</v>
      </c>
      <c r="N46" s="243">
        <v>16</v>
      </c>
      <c r="O46" s="243">
        <v>512</v>
      </c>
      <c r="P46" s="243" t="s">
        <v>47</v>
      </c>
      <c r="Q46" s="243" t="s">
        <v>63</v>
      </c>
      <c r="R46" s="243"/>
      <c r="S46" s="243"/>
      <c r="T46" s="243" t="s">
        <v>317</v>
      </c>
      <c r="U46" s="6"/>
      <c r="V46" s="18"/>
      <c r="W46" s="103" t="s">
        <v>185</v>
      </c>
      <c r="X46" s="1" t="s">
        <v>318</v>
      </c>
      <c r="Y46" s="12" t="s">
        <v>84</v>
      </c>
      <c r="Z46" s="1"/>
      <c r="AA46" s="1" t="s">
        <v>43</v>
      </c>
      <c r="AB46" s="99" t="s">
        <v>43</v>
      </c>
      <c r="AC46" s="1" t="s">
        <v>43</v>
      </c>
      <c r="AD46" s="16"/>
      <c r="AE46" s="16"/>
      <c r="AF46" s="16"/>
      <c r="AG46" s="16"/>
      <c r="AH46" s="16"/>
      <c r="AI46" s="16"/>
      <c r="AJ46" s="16"/>
      <c r="AK46" s="16"/>
      <c r="AL46" s="16"/>
      <c r="AM46" s="16"/>
      <c r="AN46" s="16"/>
      <c r="AO46" s="16"/>
      <c r="AP46" s="16"/>
      <c r="AQ46" s="16"/>
      <c r="AR46" s="16"/>
      <c r="AS46" s="16"/>
      <c r="AT46" s="16"/>
    </row>
    <row r="47" spans="1:46" s="16" customFormat="1" ht="55.2">
      <c r="A47" s="214" t="e">
        <f t="shared" si="3"/>
        <v>#REF!</v>
      </c>
      <c r="B47" s="214" t="s">
        <v>319</v>
      </c>
      <c r="C47" s="214" t="s">
        <v>44</v>
      </c>
      <c r="D47" s="260" t="s">
        <v>53</v>
      </c>
      <c r="E47" s="256" t="e">
        <f>VLOOKUP(B47,VN_Emails!B:H,7,0)</f>
        <v>#N/A</v>
      </c>
      <c r="F47" s="257" t="s">
        <v>320</v>
      </c>
      <c r="G47" s="259"/>
      <c r="H47" s="259" t="s">
        <v>73</v>
      </c>
      <c r="I47" s="214" t="str">
        <f t="shared" si="2"/>
        <v>Laptop Lenovo ThinkPad E490</v>
      </c>
      <c r="J47" s="214" t="s">
        <v>48</v>
      </c>
      <c r="K47" s="214" t="s">
        <v>57</v>
      </c>
      <c r="L47" s="214" t="s">
        <v>321</v>
      </c>
      <c r="M47" s="214" t="s">
        <v>322</v>
      </c>
      <c r="N47" s="214">
        <v>8</v>
      </c>
      <c r="O47" s="214">
        <v>500</v>
      </c>
      <c r="P47" s="214" t="s">
        <v>47</v>
      </c>
      <c r="Q47" s="214" t="s">
        <v>59</v>
      </c>
      <c r="R47" s="214"/>
      <c r="S47" s="214"/>
      <c r="T47" s="274" t="s">
        <v>323</v>
      </c>
      <c r="U47" s="61"/>
      <c r="V47" s="15" t="s">
        <v>324</v>
      </c>
      <c r="W47" s="12"/>
      <c r="X47" s="55" t="s">
        <v>325</v>
      </c>
      <c r="Y47" s="1" t="s">
        <v>43</v>
      </c>
      <c r="Z47" s="1" t="s">
        <v>43</v>
      </c>
      <c r="AA47" s="1" t="s">
        <v>43</v>
      </c>
      <c r="AB47" s="99" t="s">
        <v>43</v>
      </c>
      <c r="AC47" s="15"/>
    </row>
    <row r="48" spans="1:46" ht="27.6">
      <c r="A48" s="214" t="e">
        <f t="shared" si="3"/>
        <v>#REF!</v>
      </c>
      <c r="B48" s="214" t="s">
        <v>326</v>
      </c>
      <c r="C48" s="243" t="s">
        <v>39</v>
      </c>
      <c r="D48" s="260" t="e">
        <f>VLOOKUP(B48,VN_Emails!B:H,4,0)</f>
        <v>#N/A</v>
      </c>
      <c r="E48" s="256" t="e">
        <f>VLOOKUP(B48,VN_Emails!B:H,7,0)</f>
        <v>#N/A</v>
      </c>
      <c r="F48" s="257" t="s">
        <v>327</v>
      </c>
      <c r="G48" s="259" t="e">
        <f>SUBSTITUTE(VLOOKUP(B48,VN_Emails!B:H,2,0),"@mapactive.vn","")</f>
        <v>#N/A</v>
      </c>
      <c r="H48" s="259" t="s">
        <v>73</v>
      </c>
      <c r="I48" s="214" t="str">
        <f t="shared" si="2"/>
        <v>Laptop Dell Latitude 3520</v>
      </c>
      <c r="J48" s="214" t="s">
        <v>48</v>
      </c>
      <c r="K48" s="214" t="s">
        <v>51</v>
      </c>
      <c r="L48" s="214" t="s">
        <v>50</v>
      </c>
      <c r="M48" s="243" t="s">
        <v>328</v>
      </c>
      <c r="N48" s="243">
        <v>8</v>
      </c>
      <c r="O48" s="243">
        <v>256</v>
      </c>
      <c r="P48" s="214" t="s">
        <v>47</v>
      </c>
      <c r="Q48" s="214" t="s">
        <v>63</v>
      </c>
      <c r="R48" s="243"/>
      <c r="S48" s="243"/>
      <c r="T48" s="243"/>
      <c r="U48" s="6"/>
      <c r="V48" s="18"/>
      <c r="W48" s="103"/>
      <c r="X48" s="1" t="s">
        <v>329</v>
      </c>
      <c r="Y48" s="1" t="s">
        <v>43</v>
      </c>
      <c r="Z48" s="1" t="s">
        <v>43</v>
      </c>
      <c r="AA48" s="1" t="s">
        <v>43</v>
      </c>
      <c r="AB48" s="99" t="s">
        <v>43</v>
      </c>
      <c r="AC48" s="15"/>
      <c r="AD48" s="16"/>
      <c r="AE48" s="16"/>
      <c r="AF48" s="16"/>
      <c r="AG48" s="16"/>
      <c r="AH48" s="16"/>
      <c r="AI48" s="16"/>
      <c r="AJ48" s="16"/>
      <c r="AK48" s="16"/>
      <c r="AL48" s="16"/>
      <c r="AM48" s="16"/>
      <c r="AN48" s="16"/>
      <c r="AO48" s="16"/>
      <c r="AP48" s="16"/>
      <c r="AQ48" s="16"/>
      <c r="AR48" s="16"/>
      <c r="AS48" s="16"/>
      <c r="AT48" s="16"/>
    </row>
    <row r="49" spans="1:46" ht="88.5" customHeight="1">
      <c r="A49" s="243" t="e">
        <f t="shared" si="3"/>
        <v>#REF!</v>
      </c>
      <c r="B49" s="214" t="s">
        <v>330</v>
      </c>
      <c r="C49" s="243" t="s">
        <v>44</v>
      </c>
      <c r="D49" s="256" t="str">
        <f>VLOOKUP(B49,VN_Emails!B:H,4,0)</f>
        <v>Duong Quang Minh Tuan</v>
      </c>
      <c r="E49" s="256" t="s">
        <v>331</v>
      </c>
      <c r="F49" s="257" t="s">
        <v>332</v>
      </c>
      <c r="G49" s="258" t="str">
        <f>SUBSTITUTE(VLOOKUP(B49,VN_Emails!B:H,2,0),"@mapactive.vn","")</f>
        <v>tuan.duongquangminh</v>
      </c>
      <c r="H49" s="259" t="s">
        <v>73</v>
      </c>
      <c r="I49" s="243" t="str">
        <f t="shared" si="2"/>
        <v>Laptop Dell Latitude 5430</v>
      </c>
      <c r="J49" s="243" t="s">
        <v>48</v>
      </c>
      <c r="K49" s="243" t="s">
        <v>51</v>
      </c>
      <c r="L49" s="243" t="s">
        <v>95</v>
      </c>
      <c r="M49" s="243" t="s">
        <v>333</v>
      </c>
      <c r="N49" s="243">
        <v>16</v>
      </c>
      <c r="O49" s="243">
        <v>512</v>
      </c>
      <c r="P49" s="243" t="s">
        <v>47</v>
      </c>
      <c r="Q49" s="243" t="s">
        <v>49</v>
      </c>
      <c r="R49" s="243"/>
      <c r="S49" s="243"/>
      <c r="T49" s="275" t="s">
        <v>334</v>
      </c>
      <c r="U49" s="125"/>
      <c r="V49" s="18" t="s">
        <v>335</v>
      </c>
      <c r="W49" s="103"/>
      <c r="X49" s="1" t="s">
        <v>336</v>
      </c>
      <c r="Y49" s="1" t="s">
        <v>43</v>
      </c>
      <c r="Z49" s="1" t="s">
        <v>43</v>
      </c>
      <c r="AA49" s="1" t="s">
        <v>43</v>
      </c>
      <c r="AB49" s="99" t="s">
        <v>43</v>
      </c>
      <c r="AC49" s="15"/>
      <c r="AD49" s="16"/>
      <c r="AE49" s="16"/>
      <c r="AF49" s="16"/>
      <c r="AG49" s="16"/>
      <c r="AH49" s="16"/>
      <c r="AI49" s="16"/>
      <c r="AJ49" s="16"/>
      <c r="AK49" s="16"/>
      <c r="AL49" s="16"/>
      <c r="AM49" s="16"/>
      <c r="AN49" s="16"/>
      <c r="AO49" s="16"/>
      <c r="AP49" s="16"/>
      <c r="AQ49" s="16"/>
      <c r="AR49" s="16"/>
      <c r="AS49" s="16"/>
      <c r="AT49" s="16"/>
    </row>
    <row r="50" spans="1:46" ht="41.4">
      <c r="A50" s="243" t="e">
        <f t="shared" si="3"/>
        <v>#REF!</v>
      </c>
      <c r="B50" s="214" t="s">
        <v>337</v>
      </c>
      <c r="C50" s="243" t="s">
        <v>44</v>
      </c>
      <c r="D50" s="256" t="str">
        <f>VLOOKUP(B50,VN_Emails!B:H,4,0)</f>
        <v>Nguyen Thi Huynh Mai</v>
      </c>
      <c r="E50" s="256" t="str">
        <f>VLOOKUP(B50,VN_Emails!B:H,7,0)</f>
        <v>Finance, Tax &amp; Accounting Manager</v>
      </c>
      <c r="F50" s="257" t="s">
        <v>338</v>
      </c>
      <c r="G50" s="258" t="s">
        <v>339</v>
      </c>
      <c r="H50" s="259" t="s">
        <v>73</v>
      </c>
      <c r="I50" s="243" t="str">
        <f t="shared" si="2"/>
        <v>Laptop Dell Latitude 5420</v>
      </c>
      <c r="J50" s="243" t="s">
        <v>48</v>
      </c>
      <c r="K50" s="243" t="s">
        <v>51</v>
      </c>
      <c r="L50" s="243" t="s">
        <v>87</v>
      </c>
      <c r="M50" s="243" t="s">
        <v>340</v>
      </c>
      <c r="N50" s="243">
        <v>16</v>
      </c>
      <c r="O50" s="243">
        <v>1024</v>
      </c>
      <c r="P50" s="243" t="s">
        <v>47</v>
      </c>
      <c r="Q50" s="243" t="s">
        <v>63</v>
      </c>
      <c r="R50" s="243"/>
      <c r="S50" s="243"/>
      <c r="T50" s="275" t="s">
        <v>341</v>
      </c>
      <c r="U50" s="125"/>
      <c r="V50" s="15" t="s">
        <v>342</v>
      </c>
      <c r="W50" s="103"/>
      <c r="X50" s="1" t="s">
        <v>343</v>
      </c>
      <c r="Y50" s="1" t="s">
        <v>43</v>
      </c>
      <c r="Z50" s="1" t="s">
        <v>43</v>
      </c>
      <c r="AA50" s="1" t="s">
        <v>43</v>
      </c>
      <c r="AB50" s="99" t="s">
        <v>43</v>
      </c>
      <c r="AC50" s="15"/>
      <c r="AD50" s="16"/>
      <c r="AE50" s="16"/>
      <c r="AF50" s="16"/>
      <c r="AG50" s="16"/>
      <c r="AH50" s="16"/>
      <c r="AI50" s="16"/>
      <c r="AJ50" s="16"/>
      <c r="AK50" s="16"/>
      <c r="AL50" s="16"/>
      <c r="AM50" s="16"/>
      <c r="AN50" s="16"/>
      <c r="AO50" s="16"/>
      <c r="AP50" s="16"/>
      <c r="AQ50" s="16"/>
      <c r="AR50" s="16"/>
      <c r="AS50" s="16"/>
      <c r="AT50" s="16"/>
    </row>
    <row r="51" spans="1:46" ht="27.6">
      <c r="A51" s="243" t="e">
        <f t="shared" si="3"/>
        <v>#REF!</v>
      </c>
      <c r="B51" s="214" t="s">
        <v>344</v>
      </c>
      <c r="C51" s="243" t="s">
        <v>39</v>
      </c>
      <c r="D51" s="256" t="e">
        <f>VLOOKUP(B51,VN_Emails!B:H,4,0)</f>
        <v>#N/A</v>
      </c>
      <c r="E51" s="256" t="e">
        <f>VLOOKUP(B51,VN_Emails!B:H,7,0)</f>
        <v>#N/A</v>
      </c>
      <c r="F51" s="257" t="s">
        <v>345</v>
      </c>
      <c r="G51" s="258" t="e">
        <f>SUBSTITUTE(VLOOKUP(B51,VN_Emails!B:H,2,0),"@mapactive.vn","")</f>
        <v>#N/A</v>
      </c>
      <c r="H51" s="259" t="s">
        <v>73</v>
      </c>
      <c r="I51" s="243" t="str">
        <f t="shared" si="2"/>
        <v>Laptop Dell Latitude 5430</v>
      </c>
      <c r="J51" s="243" t="s">
        <v>48</v>
      </c>
      <c r="K51" s="243" t="s">
        <v>51</v>
      </c>
      <c r="L51" s="243" t="s">
        <v>95</v>
      </c>
      <c r="M51" s="243" t="s">
        <v>346</v>
      </c>
      <c r="N51" s="243">
        <v>16</v>
      </c>
      <c r="O51" s="243">
        <v>512</v>
      </c>
      <c r="P51" s="243" t="s">
        <v>47</v>
      </c>
      <c r="Q51" s="243" t="s">
        <v>49</v>
      </c>
      <c r="R51" s="243"/>
      <c r="S51" s="243"/>
      <c r="T51" s="243" t="s">
        <v>347</v>
      </c>
      <c r="U51" s="6"/>
      <c r="V51" s="18" t="s">
        <v>348</v>
      </c>
      <c r="W51" s="103"/>
      <c r="X51" s="1" t="s">
        <v>349</v>
      </c>
      <c r="Y51" s="1" t="s">
        <v>43</v>
      </c>
      <c r="Z51" s="1" t="s">
        <v>43</v>
      </c>
      <c r="AA51" s="1" t="s">
        <v>43</v>
      </c>
      <c r="AB51" s="99" t="s">
        <v>43</v>
      </c>
      <c r="AC51" s="15"/>
      <c r="AD51" s="16"/>
      <c r="AE51" s="16"/>
      <c r="AF51" s="16"/>
      <c r="AG51" s="16"/>
      <c r="AH51" s="16"/>
      <c r="AI51" s="16"/>
      <c r="AJ51" s="16"/>
      <c r="AK51" s="16"/>
      <c r="AL51" s="16"/>
      <c r="AM51" s="16"/>
      <c r="AN51" s="16"/>
      <c r="AO51" s="16"/>
      <c r="AP51" s="16"/>
      <c r="AQ51" s="16"/>
      <c r="AR51" s="16"/>
      <c r="AS51" s="16"/>
      <c r="AT51" s="16"/>
    </row>
    <row r="52" spans="1:46" ht="27.6">
      <c r="A52" s="243" t="e">
        <f t="shared" si="3"/>
        <v>#REF!</v>
      </c>
      <c r="B52" s="214" t="s">
        <v>350</v>
      </c>
      <c r="C52" s="243" t="s">
        <v>44</v>
      </c>
      <c r="D52" s="256" t="str">
        <f>VLOOKUP(B52,VN_Emails!B:H,4,0)</f>
        <v>Vo Lam Minh Dat</v>
      </c>
      <c r="E52" s="256" t="str">
        <f>VLOOKUP(B52,VN_Emails!B:H,7,0)</f>
        <v xml:space="preserve">Area Manager (South) </v>
      </c>
      <c r="F52" s="257" t="s">
        <v>351</v>
      </c>
      <c r="G52" s="258" t="str">
        <f>SUBSTITUTE(VLOOKUP(B52,VN_Emails!B:H,2,0),"@mapactive.vn","")</f>
        <v>dat.volamminh</v>
      </c>
      <c r="H52" s="259" t="s">
        <v>73</v>
      </c>
      <c r="I52" s="243" t="str">
        <f t="shared" si="2"/>
        <v>Laptop Dell Latitude 5430</v>
      </c>
      <c r="J52" s="243" t="s">
        <v>48</v>
      </c>
      <c r="K52" s="243" t="s">
        <v>51</v>
      </c>
      <c r="L52" s="243" t="s">
        <v>95</v>
      </c>
      <c r="M52" s="243" t="s">
        <v>352</v>
      </c>
      <c r="N52" s="243">
        <v>16</v>
      </c>
      <c r="O52" s="243">
        <v>512</v>
      </c>
      <c r="P52" s="243" t="s">
        <v>47</v>
      </c>
      <c r="Q52" s="243" t="s">
        <v>49</v>
      </c>
      <c r="R52" s="243"/>
      <c r="S52" s="243"/>
      <c r="T52" s="243"/>
      <c r="U52" s="6"/>
      <c r="V52" s="18"/>
      <c r="W52" s="103"/>
      <c r="X52" s="1" t="s">
        <v>353</v>
      </c>
      <c r="Y52" s="1" t="s">
        <v>43</v>
      </c>
      <c r="Z52" s="1"/>
      <c r="AA52" s="1" t="s">
        <v>43</v>
      </c>
      <c r="AB52" s="99" t="s">
        <v>43</v>
      </c>
      <c r="AC52" s="15"/>
      <c r="AD52" s="16"/>
      <c r="AE52" s="16"/>
      <c r="AF52" s="16"/>
      <c r="AG52" s="16"/>
      <c r="AH52" s="16"/>
      <c r="AI52" s="16"/>
      <c r="AJ52" s="16"/>
      <c r="AK52" s="16"/>
      <c r="AL52" s="16"/>
      <c r="AM52" s="16"/>
      <c r="AN52" s="16"/>
      <c r="AO52" s="16"/>
      <c r="AP52" s="16"/>
      <c r="AQ52" s="16"/>
      <c r="AR52" s="16"/>
      <c r="AS52" s="16"/>
      <c r="AT52" s="16"/>
    </row>
    <row r="53" spans="1:46" ht="27.6">
      <c r="A53" s="214" t="e">
        <f t="shared" si="3"/>
        <v>#REF!</v>
      </c>
      <c r="B53" s="214" t="s">
        <v>354</v>
      </c>
      <c r="C53" s="214" t="s">
        <v>44</v>
      </c>
      <c r="D53" s="260" t="str">
        <f>VLOOKUP(B53,VN_Emails!B:H,4,0)</f>
        <v>Ngo Anh Tuan</v>
      </c>
      <c r="E53" s="260" t="str">
        <f>VLOOKUP(B53,VN_Emails!B:H,7,0)</f>
        <v>Senior Wholesaler</v>
      </c>
      <c r="F53" s="257" t="s">
        <v>355</v>
      </c>
      <c r="G53" s="259" t="str">
        <f>SUBSTITUTE(VLOOKUP(B53,VN_Emails!B:H,2,0),"@mapactive.vn","")</f>
        <v>tuan.ngoanh</v>
      </c>
      <c r="H53" s="259" t="s">
        <v>73</v>
      </c>
      <c r="I53" s="214" t="str">
        <f t="shared" si="2"/>
        <v>Laptop Dell Latitude 3520</v>
      </c>
      <c r="J53" s="214" t="s">
        <v>48</v>
      </c>
      <c r="K53" s="214" t="s">
        <v>51</v>
      </c>
      <c r="L53" s="214" t="s">
        <v>50</v>
      </c>
      <c r="M53" s="243" t="s">
        <v>356</v>
      </c>
      <c r="N53" s="243">
        <v>8</v>
      </c>
      <c r="O53" s="243">
        <v>256</v>
      </c>
      <c r="P53" s="214" t="s">
        <v>47</v>
      </c>
      <c r="Q53" s="214" t="s">
        <v>52</v>
      </c>
      <c r="R53" s="243"/>
      <c r="S53" s="243"/>
      <c r="T53" s="243"/>
      <c r="U53" s="6"/>
      <c r="V53" s="18"/>
      <c r="W53" s="103"/>
      <c r="X53" s="1" t="s">
        <v>357</v>
      </c>
      <c r="Y53" s="1" t="s">
        <v>43</v>
      </c>
      <c r="Z53" s="1"/>
      <c r="AA53" s="1" t="s">
        <v>43</v>
      </c>
      <c r="AB53" s="99" t="s">
        <v>43</v>
      </c>
      <c r="AC53" s="15"/>
      <c r="AD53" s="16"/>
      <c r="AE53" s="16"/>
      <c r="AF53" s="16"/>
      <c r="AG53" s="16"/>
      <c r="AH53" s="16"/>
      <c r="AI53" s="16"/>
      <c r="AJ53" s="16"/>
      <c r="AK53" s="16"/>
      <c r="AL53" s="16"/>
      <c r="AM53" s="16"/>
      <c r="AN53" s="16"/>
      <c r="AO53" s="16"/>
      <c r="AP53" s="16"/>
      <c r="AQ53" s="16"/>
      <c r="AR53" s="16"/>
      <c r="AS53" s="16"/>
      <c r="AT53" s="16"/>
    </row>
    <row r="54" spans="1:46" ht="27.6">
      <c r="A54" s="214" t="e">
        <f t="shared" si="3"/>
        <v>#REF!</v>
      </c>
      <c r="B54" s="214" t="s">
        <v>358</v>
      </c>
      <c r="C54" s="214" t="s">
        <v>39</v>
      </c>
      <c r="D54" s="260" t="e">
        <f>VLOOKUP(B54,VN_Emails!B:H,4,0)</f>
        <v>#N/A</v>
      </c>
      <c r="E54" s="260" t="e">
        <f>VLOOKUP(B54,VN_Emails!B:H,7,0)</f>
        <v>#N/A</v>
      </c>
      <c r="F54" s="257" t="s">
        <v>359</v>
      </c>
      <c r="G54" s="259" t="e">
        <f>SUBSTITUTE(VLOOKUP(B54,VN_Emails!B:H,2,0),"@mapactive.vn","")</f>
        <v>#N/A</v>
      </c>
      <c r="H54" s="259" t="s">
        <v>73</v>
      </c>
      <c r="I54" s="214" t="str">
        <f t="shared" si="2"/>
        <v>Laptop Dell Latitude 3520</v>
      </c>
      <c r="J54" s="214" t="s">
        <v>48</v>
      </c>
      <c r="K54" s="214" t="s">
        <v>51</v>
      </c>
      <c r="L54" s="214" t="s">
        <v>50</v>
      </c>
      <c r="M54" s="243" t="s">
        <v>360</v>
      </c>
      <c r="N54" s="243">
        <v>8</v>
      </c>
      <c r="O54" s="243">
        <v>256</v>
      </c>
      <c r="P54" s="214" t="s">
        <v>47</v>
      </c>
      <c r="Q54" s="214" t="s">
        <v>52</v>
      </c>
      <c r="R54" s="243"/>
      <c r="S54" s="243"/>
      <c r="T54" s="243"/>
      <c r="U54" s="6"/>
      <c r="V54" s="18"/>
      <c r="W54" s="103"/>
      <c r="X54" s="1" t="s">
        <v>361</v>
      </c>
      <c r="Y54" s="1" t="s">
        <v>43</v>
      </c>
      <c r="Z54" s="1"/>
      <c r="AA54" s="1" t="s">
        <v>43</v>
      </c>
      <c r="AB54" s="99" t="s">
        <v>43</v>
      </c>
      <c r="AC54" s="15"/>
      <c r="AD54" s="16"/>
      <c r="AE54" s="16"/>
      <c r="AF54" s="16"/>
      <c r="AG54" s="16"/>
      <c r="AH54" s="16"/>
      <c r="AI54" s="16"/>
      <c r="AJ54" s="16"/>
      <c r="AK54" s="16"/>
      <c r="AL54" s="16"/>
      <c r="AM54" s="16"/>
      <c r="AN54" s="16"/>
      <c r="AO54" s="16"/>
      <c r="AP54" s="16"/>
      <c r="AQ54" s="16"/>
      <c r="AR54" s="16"/>
      <c r="AS54" s="16"/>
      <c r="AT54" s="16"/>
    </row>
    <row r="55" spans="1:46" ht="27.6">
      <c r="A55" s="214" t="e">
        <f t="shared" si="3"/>
        <v>#REF!</v>
      </c>
      <c r="B55" s="214" t="s">
        <v>362</v>
      </c>
      <c r="C55" s="214" t="s">
        <v>39</v>
      </c>
      <c r="D55" s="260" t="e">
        <f>VLOOKUP(B55,VN_Emails!B:H,4,0)</f>
        <v>#N/A</v>
      </c>
      <c r="E55" s="260" t="e">
        <f>VLOOKUP(B55,VN_Emails!B:H,7,0)</f>
        <v>#N/A</v>
      </c>
      <c r="F55" s="257" t="s">
        <v>363</v>
      </c>
      <c r="G55" s="259" t="e">
        <f>SUBSTITUTE(VLOOKUP(B55,VN_Emails!B:H,2,0),"@mapactive.vn","")</f>
        <v>#N/A</v>
      </c>
      <c r="H55" s="259" t="s">
        <v>73</v>
      </c>
      <c r="I55" s="214" t="str">
        <f t="shared" si="2"/>
        <v>Laptop Dell Latitude 3520</v>
      </c>
      <c r="J55" s="214" t="s">
        <v>48</v>
      </c>
      <c r="K55" s="214" t="s">
        <v>51</v>
      </c>
      <c r="L55" s="214" t="s">
        <v>50</v>
      </c>
      <c r="M55" s="243" t="s">
        <v>364</v>
      </c>
      <c r="N55" s="243">
        <v>8</v>
      </c>
      <c r="O55" s="243">
        <v>256</v>
      </c>
      <c r="P55" s="214" t="s">
        <v>47</v>
      </c>
      <c r="Q55" s="214" t="s">
        <v>52</v>
      </c>
      <c r="R55" s="243"/>
      <c r="S55" s="243"/>
      <c r="T55" s="243"/>
      <c r="U55" s="6"/>
      <c r="V55" s="18"/>
      <c r="W55" s="103"/>
      <c r="X55" s="1" t="s">
        <v>365</v>
      </c>
      <c r="Y55" s="1" t="s">
        <v>43</v>
      </c>
      <c r="Z55" s="1"/>
      <c r="AA55" s="1" t="s">
        <v>43</v>
      </c>
      <c r="AB55" s="99" t="s">
        <v>43</v>
      </c>
      <c r="AC55" s="15"/>
      <c r="AD55" s="16"/>
      <c r="AE55" s="16"/>
      <c r="AF55" s="16"/>
      <c r="AG55" s="16"/>
      <c r="AH55" s="16"/>
      <c r="AI55" s="16"/>
      <c r="AJ55" s="16"/>
      <c r="AK55" s="16"/>
      <c r="AL55" s="16"/>
      <c r="AM55" s="16"/>
      <c r="AN55" s="16"/>
      <c r="AO55" s="16"/>
      <c r="AP55" s="16"/>
      <c r="AQ55" s="16"/>
      <c r="AR55" s="16"/>
      <c r="AS55" s="16"/>
      <c r="AT55" s="16"/>
    </row>
    <row r="56" spans="1:46" ht="27.6">
      <c r="A56" s="214" t="e">
        <f t="shared" si="3"/>
        <v>#REF!</v>
      </c>
      <c r="B56" s="214" t="s">
        <v>366</v>
      </c>
      <c r="C56" s="214" t="s">
        <v>39</v>
      </c>
      <c r="D56" s="260" t="e">
        <f>VLOOKUP(B56,VN_Emails!B:H,4,0)</f>
        <v>#N/A</v>
      </c>
      <c r="E56" s="260" t="e">
        <f>VLOOKUP(B56,VN_Emails!B:H,7,0)</f>
        <v>#N/A</v>
      </c>
      <c r="F56" s="257" t="s">
        <v>367</v>
      </c>
      <c r="G56" s="259" t="e">
        <f>SUBSTITUTE(VLOOKUP(B56,VN_Emails!B:H,2,0),"@mapactive.vn","")</f>
        <v>#N/A</v>
      </c>
      <c r="H56" s="259" t="s">
        <v>73</v>
      </c>
      <c r="I56" s="214" t="str">
        <f t="shared" si="2"/>
        <v>Laptop Dell Latitude 3520</v>
      </c>
      <c r="J56" s="214" t="s">
        <v>48</v>
      </c>
      <c r="K56" s="214" t="s">
        <v>51</v>
      </c>
      <c r="L56" s="214" t="s">
        <v>50</v>
      </c>
      <c r="M56" s="243" t="s">
        <v>368</v>
      </c>
      <c r="N56" s="243">
        <v>8</v>
      </c>
      <c r="O56" s="243">
        <v>256</v>
      </c>
      <c r="P56" s="214" t="s">
        <v>47</v>
      </c>
      <c r="Q56" s="214" t="s">
        <v>52</v>
      </c>
      <c r="R56" s="243"/>
      <c r="S56" s="243"/>
      <c r="T56" s="243"/>
      <c r="U56" s="6"/>
      <c r="V56" s="18"/>
      <c r="W56" s="103"/>
      <c r="X56" s="1" t="s">
        <v>369</v>
      </c>
      <c r="Y56" s="1" t="s">
        <v>43</v>
      </c>
      <c r="Z56" s="1"/>
      <c r="AA56" s="1" t="s">
        <v>43</v>
      </c>
      <c r="AB56" s="99" t="s">
        <v>43</v>
      </c>
      <c r="AC56" s="15"/>
      <c r="AD56" s="16"/>
      <c r="AE56" s="16"/>
      <c r="AF56" s="16"/>
      <c r="AG56" s="16"/>
      <c r="AH56" s="16"/>
      <c r="AI56" s="16"/>
      <c r="AJ56" s="16"/>
      <c r="AK56" s="16"/>
      <c r="AL56" s="16"/>
      <c r="AM56" s="16"/>
      <c r="AN56" s="16"/>
      <c r="AO56" s="16"/>
      <c r="AP56" s="16"/>
      <c r="AQ56" s="16"/>
      <c r="AR56" s="16"/>
      <c r="AS56" s="16"/>
      <c r="AT56" s="16"/>
    </row>
    <row r="57" spans="1:46" ht="27.6">
      <c r="A57" s="214" t="e">
        <f t="shared" si="3"/>
        <v>#REF!</v>
      </c>
      <c r="B57" s="214" t="s">
        <v>370</v>
      </c>
      <c r="C57" s="214" t="s">
        <v>39</v>
      </c>
      <c r="D57" s="260"/>
      <c r="E57" s="260"/>
      <c r="F57" s="257" t="s">
        <v>371</v>
      </c>
      <c r="G57" s="259" t="e">
        <f>SUBSTITUTE(VLOOKUP(B57,VN_Emails!B:H,2,0),"@mapactive.vn","")</f>
        <v>#N/A</v>
      </c>
      <c r="H57" s="259" t="s">
        <v>73</v>
      </c>
      <c r="I57" s="214" t="str">
        <f t="shared" si="2"/>
        <v>Laptop Dell Latitude 5420</v>
      </c>
      <c r="J57" s="214" t="s">
        <v>48</v>
      </c>
      <c r="K57" s="214" t="s">
        <v>51</v>
      </c>
      <c r="L57" s="214" t="s">
        <v>87</v>
      </c>
      <c r="M57" s="243" t="s">
        <v>372</v>
      </c>
      <c r="N57" s="214">
        <v>16</v>
      </c>
      <c r="O57" s="214">
        <v>512</v>
      </c>
      <c r="P57" s="214" t="s">
        <v>47</v>
      </c>
      <c r="Q57" s="214" t="s">
        <v>63</v>
      </c>
      <c r="R57" s="243"/>
      <c r="S57" s="243"/>
      <c r="T57" s="243"/>
      <c r="U57" s="6"/>
      <c r="V57" s="18"/>
      <c r="W57" s="103"/>
      <c r="X57" s="1" t="s">
        <v>373</v>
      </c>
      <c r="Y57" s="1" t="s">
        <v>43</v>
      </c>
      <c r="Z57" s="1" t="s">
        <v>43</v>
      </c>
      <c r="AA57" s="1" t="s">
        <v>43</v>
      </c>
      <c r="AB57" s="99" t="s">
        <v>43</v>
      </c>
      <c r="AC57" s="15"/>
      <c r="AD57" s="16"/>
      <c r="AE57" s="16"/>
      <c r="AF57" s="16"/>
      <c r="AG57" s="16"/>
      <c r="AH57" s="16"/>
      <c r="AI57" s="16"/>
      <c r="AJ57" s="16"/>
      <c r="AK57" s="16"/>
      <c r="AL57" s="16"/>
      <c r="AM57" s="16"/>
      <c r="AN57" s="16"/>
      <c r="AO57" s="16"/>
      <c r="AP57" s="16"/>
      <c r="AQ57" s="16"/>
      <c r="AR57" s="16"/>
      <c r="AS57" s="16"/>
      <c r="AT57" s="16"/>
    </row>
    <row r="58" spans="1:46" s="16" customFormat="1" ht="55.2">
      <c r="A58" s="214" t="e">
        <f t="shared" si="3"/>
        <v>#REF!</v>
      </c>
      <c r="B58" s="214" t="s">
        <v>374</v>
      </c>
      <c r="C58" s="214" t="s">
        <v>44</v>
      </c>
      <c r="D58" s="260" t="str">
        <f>VLOOKUP(B58,VN_Emails!B:H,4,0)</f>
        <v>Nguyen My Binh</v>
      </c>
      <c r="E58" s="260" t="s">
        <v>375</v>
      </c>
      <c r="F58" s="257" t="s">
        <v>376</v>
      </c>
      <c r="G58" s="259" t="s">
        <v>377</v>
      </c>
      <c r="H58" s="259" t="s">
        <v>73</v>
      </c>
      <c r="I58" s="214" t="str">
        <f t="shared" si="2"/>
        <v>Laptop Dell Latitude 5420</v>
      </c>
      <c r="J58" s="214" t="s">
        <v>48</v>
      </c>
      <c r="K58" s="214" t="s">
        <v>51</v>
      </c>
      <c r="L58" s="214" t="s">
        <v>87</v>
      </c>
      <c r="M58" s="214" t="s">
        <v>378</v>
      </c>
      <c r="N58" s="214">
        <v>16</v>
      </c>
      <c r="O58" s="214">
        <v>512</v>
      </c>
      <c r="P58" s="214" t="s">
        <v>47</v>
      </c>
      <c r="Q58" s="214" t="s">
        <v>63</v>
      </c>
      <c r="R58" s="214"/>
      <c r="S58" s="214"/>
      <c r="T58" s="214" t="s">
        <v>379</v>
      </c>
      <c r="U58" s="12"/>
      <c r="V58" s="18"/>
      <c r="W58" s="103"/>
      <c r="X58" s="55" t="s">
        <v>380</v>
      </c>
      <c r="Y58" s="1" t="s">
        <v>43</v>
      </c>
      <c r="Z58" s="1" t="s">
        <v>43</v>
      </c>
      <c r="AA58" s="1" t="s">
        <v>43</v>
      </c>
      <c r="AB58" s="99" t="s">
        <v>43</v>
      </c>
      <c r="AC58" s="15"/>
    </row>
    <row r="59" spans="1:46" ht="27.6">
      <c r="A59" s="214" t="e">
        <f t="shared" si="3"/>
        <v>#REF!</v>
      </c>
      <c r="B59" s="214" t="s">
        <v>381</v>
      </c>
      <c r="C59" s="214" t="s">
        <v>44</v>
      </c>
      <c r="D59" s="260" t="s">
        <v>382</v>
      </c>
      <c r="E59" s="256" t="s">
        <v>383</v>
      </c>
      <c r="F59" s="257" t="s">
        <v>384</v>
      </c>
      <c r="G59" s="258"/>
      <c r="H59" s="259" t="s">
        <v>73</v>
      </c>
      <c r="I59" s="214" t="str">
        <f t="shared" si="2"/>
        <v>Laptop Lenovo Thinkpad X280</v>
      </c>
      <c r="J59" s="214" t="s">
        <v>48</v>
      </c>
      <c r="K59" s="214" t="s">
        <v>57</v>
      </c>
      <c r="L59" s="214" t="s">
        <v>222</v>
      </c>
      <c r="M59" s="243" t="s">
        <v>385</v>
      </c>
      <c r="N59" s="243">
        <v>8</v>
      </c>
      <c r="O59" s="243">
        <v>256</v>
      </c>
      <c r="P59" s="214" t="s">
        <v>47</v>
      </c>
      <c r="Q59" s="214" t="s">
        <v>58</v>
      </c>
      <c r="R59" s="243"/>
      <c r="S59" s="243"/>
      <c r="T59" s="243"/>
      <c r="U59" s="6"/>
      <c r="V59" s="18"/>
      <c r="W59" s="103"/>
      <c r="X59" s="1" t="s">
        <v>386</v>
      </c>
      <c r="Y59" s="1" t="s">
        <v>43</v>
      </c>
      <c r="Z59" s="1"/>
      <c r="AA59" s="1" t="s">
        <v>43</v>
      </c>
      <c r="AB59" s="99" t="s">
        <v>43</v>
      </c>
      <c r="AC59" s="15" t="s">
        <v>43</v>
      </c>
      <c r="AD59" s="16"/>
      <c r="AE59" s="16"/>
      <c r="AF59" s="16"/>
      <c r="AG59" s="16"/>
      <c r="AH59" s="16"/>
      <c r="AI59" s="16"/>
      <c r="AJ59" s="16"/>
      <c r="AK59" s="16"/>
      <c r="AL59" s="16"/>
      <c r="AM59" s="16"/>
      <c r="AN59" s="16"/>
      <c r="AO59" s="16"/>
      <c r="AP59" s="16"/>
      <c r="AQ59" s="16"/>
      <c r="AR59" s="16"/>
      <c r="AS59" s="16"/>
      <c r="AT59" s="16"/>
    </row>
    <row r="60" spans="1:46" ht="27.6">
      <c r="A60" s="214" t="e">
        <f t="shared" si="3"/>
        <v>#REF!</v>
      </c>
      <c r="B60" s="214" t="s">
        <v>387</v>
      </c>
      <c r="C60" s="214" t="s">
        <v>44</v>
      </c>
      <c r="D60" s="260" t="str">
        <f>VLOOKUP(B60,VN_Emails!B:H,4,0)</f>
        <v>Le Ngoc My Linh</v>
      </c>
      <c r="E60" s="260" t="str">
        <f>VLOOKUP(B60,VN_Emails!B:H,7,0)</f>
        <v>Senior Merchandise</v>
      </c>
      <c r="F60" s="257" t="s">
        <v>388</v>
      </c>
      <c r="G60" s="259" t="str">
        <f>SUBSTITUTE(VLOOKUP(B60,VN_Emails!B:H,2,0),"@mapactive.vn","")</f>
        <v>linh.lengocmy</v>
      </c>
      <c r="H60" s="259" t="s">
        <v>73</v>
      </c>
      <c r="I60" s="214" t="str">
        <f t="shared" si="2"/>
        <v>Laptop Dell Latitude 3520</v>
      </c>
      <c r="J60" s="214" t="s">
        <v>48</v>
      </c>
      <c r="K60" s="214" t="s">
        <v>51</v>
      </c>
      <c r="L60" s="214" t="s">
        <v>50</v>
      </c>
      <c r="M60" s="243" t="s">
        <v>389</v>
      </c>
      <c r="N60" s="243">
        <v>8</v>
      </c>
      <c r="O60" s="243">
        <v>256</v>
      </c>
      <c r="P60" s="214" t="s">
        <v>47</v>
      </c>
      <c r="Q60" s="214" t="s">
        <v>63</v>
      </c>
      <c r="R60" s="243"/>
      <c r="S60" s="243"/>
      <c r="T60" s="243"/>
      <c r="U60" s="6"/>
      <c r="V60" s="18"/>
      <c r="W60" s="103"/>
      <c r="X60" s="1" t="s">
        <v>390</v>
      </c>
      <c r="Y60" s="1" t="s">
        <v>43</v>
      </c>
      <c r="Z60" s="1" t="s">
        <v>43</v>
      </c>
      <c r="AA60" s="1" t="s">
        <v>43</v>
      </c>
      <c r="AB60" s="99" t="s">
        <v>43</v>
      </c>
      <c r="AC60" s="15"/>
      <c r="AD60" s="16"/>
      <c r="AE60" s="16"/>
      <c r="AF60" s="16"/>
      <c r="AG60" s="16"/>
      <c r="AH60" s="16"/>
      <c r="AI60" s="16"/>
      <c r="AJ60" s="16"/>
      <c r="AK60" s="16"/>
      <c r="AL60" s="16"/>
      <c r="AM60" s="16"/>
      <c r="AN60" s="16"/>
      <c r="AO60" s="16"/>
      <c r="AP60" s="16"/>
      <c r="AQ60" s="16"/>
      <c r="AR60" s="16"/>
      <c r="AS60" s="16"/>
      <c r="AT60" s="16"/>
    </row>
    <row r="61" spans="1:46" ht="28.2">
      <c r="A61" s="243" t="e">
        <f t="shared" si="3"/>
        <v>#REF!</v>
      </c>
      <c r="B61" s="214" t="s">
        <v>391</v>
      </c>
      <c r="C61" s="243" t="s">
        <v>44</v>
      </c>
      <c r="D61" s="256" t="str">
        <f>VLOOKUP(B61,VN_Emails!B:H,4,0)</f>
        <v>Ngo Tieu Binh</v>
      </c>
      <c r="E61" s="256" t="str">
        <f>VLOOKUP(B61,VN_Emails!B:H,7,0)</f>
        <v>HR Executive</v>
      </c>
      <c r="F61" s="257" t="s">
        <v>392</v>
      </c>
      <c r="G61" s="258" t="str">
        <f>SUBSTITUTE(VLOOKUP(B61,VN_Emails!B:H,2,0),"@mapactive.vn","")</f>
        <v>binh.ngotieu</v>
      </c>
      <c r="H61" s="259" t="s">
        <v>73</v>
      </c>
      <c r="I61" s="243" t="str">
        <f t="shared" si="2"/>
        <v>Laptop Dell Latitude 3520</v>
      </c>
      <c r="J61" s="243" t="s">
        <v>48</v>
      </c>
      <c r="K61" s="243" t="s">
        <v>51</v>
      </c>
      <c r="L61" s="243" t="s">
        <v>50</v>
      </c>
      <c r="M61" s="243" t="s">
        <v>393</v>
      </c>
      <c r="N61" s="243">
        <v>16</v>
      </c>
      <c r="O61" s="243">
        <v>256</v>
      </c>
      <c r="P61" s="243" t="s">
        <v>47</v>
      </c>
      <c r="Q61" s="243" t="s">
        <v>63</v>
      </c>
      <c r="R61" s="243"/>
      <c r="S61" s="243"/>
      <c r="T61" s="276" t="s">
        <v>394</v>
      </c>
      <c r="U61" s="77"/>
      <c r="V61" s="18"/>
      <c r="W61" s="103"/>
      <c r="X61" s="1" t="s">
        <v>395</v>
      </c>
      <c r="Y61" s="1" t="s">
        <v>43</v>
      </c>
      <c r="Z61" s="1" t="s">
        <v>43</v>
      </c>
      <c r="AA61" s="1" t="s">
        <v>43</v>
      </c>
      <c r="AB61" s="99" t="s">
        <v>43</v>
      </c>
      <c r="AC61" s="15"/>
      <c r="AD61" s="16"/>
      <c r="AE61" s="16"/>
      <c r="AF61" s="16"/>
      <c r="AG61" s="16"/>
      <c r="AH61" s="16"/>
      <c r="AI61" s="16"/>
      <c r="AJ61" s="16"/>
      <c r="AK61" s="16"/>
      <c r="AL61" s="16"/>
      <c r="AM61" s="16"/>
      <c r="AN61" s="16"/>
      <c r="AO61" s="16"/>
      <c r="AP61" s="16"/>
      <c r="AQ61" s="16"/>
      <c r="AR61" s="16"/>
      <c r="AS61" s="16"/>
      <c r="AT61" s="16"/>
    </row>
    <row r="62" spans="1:46" ht="27.6">
      <c r="A62" s="214" t="e">
        <f t="shared" si="3"/>
        <v>#REF!</v>
      </c>
      <c r="B62" s="214" t="s">
        <v>396</v>
      </c>
      <c r="C62" s="214" t="s">
        <v>44</v>
      </c>
      <c r="D62" s="260" t="str">
        <f>VLOOKUP(B62,VN_Emails!B:H,4,0)</f>
        <v>Ta Quynh Trang</v>
      </c>
      <c r="E62" s="260" t="str">
        <f>VLOOKUP(B62,VN_Emails!B:H,7,0)</f>
        <v>COE Officer</v>
      </c>
      <c r="F62" s="257" t="s">
        <v>397</v>
      </c>
      <c r="G62" s="259" t="str">
        <f>SUBSTITUTE(VLOOKUP(B62,VN_Emails!B:H,2,0),"@mapactive.vn","")</f>
        <v>trang.taquynh</v>
      </c>
      <c r="H62" s="259" t="s">
        <v>73</v>
      </c>
      <c r="I62" s="214" t="str">
        <f t="shared" si="2"/>
        <v>Laptop Dell Latitude 3520</v>
      </c>
      <c r="J62" s="214" t="s">
        <v>48</v>
      </c>
      <c r="K62" s="214" t="s">
        <v>51</v>
      </c>
      <c r="L62" s="214" t="s">
        <v>50</v>
      </c>
      <c r="M62" s="243" t="s">
        <v>398</v>
      </c>
      <c r="N62" s="243">
        <v>8</v>
      </c>
      <c r="O62" s="243">
        <v>256</v>
      </c>
      <c r="P62" s="214" t="s">
        <v>47</v>
      </c>
      <c r="Q62" s="214" t="s">
        <v>63</v>
      </c>
      <c r="R62" s="243"/>
      <c r="S62" s="243"/>
      <c r="T62" s="243"/>
      <c r="U62" s="6"/>
      <c r="V62" s="18"/>
      <c r="W62" s="103"/>
      <c r="X62" s="1" t="s">
        <v>399</v>
      </c>
      <c r="Y62" s="1" t="s">
        <v>43</v>
      </c>
      <c r="Z62" s="1" t="s">
        <v>43</v>
      </c>
      <c r="AA62" s="1" t="s">
        <v>43</v>
      </c>
      <c r="AB62" s="99" t="s">
        <v>43</v>
      </c>
      <c r="AC62" s="15"/>
      <c r="AD62" s="16"/>
      <c r="AE62" s="16"/>
      <c r="AF62" s="16"/>
      <c r="AG62" s="16"/>
      <c r="AH62" s="16"/>
      <c r="AI62" s="16"/>
      <c r="AJ62" s="16"/>
      <c r="AK62" s="16"/>
      <c r="AL62" s="16"/>
      <c r="AM62" s="16"/>
      <c r="AN62" s="16"/>
      <c r="AO62" s="16"/>
      <c r="AP62" s="16"/>
      <c r="AQ62" s="16"/>
      <c r="AR62" s="16"/>
      <c r="AS62" s="16"/>
      <c r="AT62" s="16"/>
    </row>
    <row r="63" spans="1:46" s="16" customFormat="1" ht="28.8">
      <c r="A63" s="243" t="e">
        <f t="shared" si="3"/>
        <v>#REF!</v>
      </c>
      <c r="B63" s="214" t="s">
        <v>400</v>
      </c>
      <c r="C63" s="243" t="s">
        <v>39</v>
      </c>
      <c r="D63" s="256" t="e">
        <f>VLOOKUP(B63,VN_Emails!B:H,4,0)</f>
        <v>#N/A</v>
      </c>
      <c r="E63" s="256" t="e">
        <f>VLOOKUP(B63,VN_Emails!B:H,7,0)</f>
        <v>#N/A</v>
      </c>
      <c r="F63" s="257" t="s">
        <v>401</v>
      </c>
      <c r="G63" s="258" t="e">
        <f>SUBSTITUTE(VLOOKUP(B63,VN_Emails!B:H,2,0),"@mapactive.vn","")</f>
        <v>#N/A</v>
      </c>
      <c r="H63" s="259" t="s">
        <v>73</v>
      </c>
      <c r="I63" s="243" t="str">
        <f t="shared" si="2"/>
        <v>Laptop Dell Latitude 5430</v>
      </c>
      <c r="J63" s="243" t="s">
        <v>48</v>
      </c>
      <c r="K63" s="243" t="s">
        <v>51</v>
      </c>
      <c r="L63" s="243" t="s">
        <v>95</v>
      </c>
      <c r="M63" s="243" t="s">
        <v>402</v>
      </c>
      <c r="N63" s="243">
        <v>16</v>
      </c>
      <c r="O63" s="243">
        <v>512</v>
      </c>
      <c r="P63" s="243" t="s">
        <v>47</v>
      </c>
      <c r="Q63" s="243" t="s">
        <v>49</v>
      </c>
      <c r="R63" s="243"/>
      <c r="S63" s="243"/>
      <c r="T63" s="243" t="s">
        <v>403</v>
      </c>
      <c r="U63" s="12"/>
      <c r="V63" s="18" t="s">
        <v>404</v>
      </c>
      <c r="W63" s="103"/>
      <c r="X63" s="55" t="s">
        <v>405</v>
      </c>
      <c r="Y63" s="1" t="s">
        <v>43</v>
      </c>
      <c r="Z63" s="1"/>
      <c r="AA63" s="1" t="s">
        <v>43</v>
      </c>
      <c r="AB63" s="99" t="s">
        <v>43</v>
      </c>
      <c r="AC63" s="15"/>
    </row>
    <row r="64" spans="1:46" ht="27.6">
      <c r="A64" s="243" t="e">
        <f t="shared" si="3"/>
        <v>#REF!</v>
      </c>
      <c r="B64" s="214" t="s">
        <v>406</v>
      </c>
      <c r="C64" s="243" t="s">
        <v>44</v>
      </c>
      <c r="D64" s="256" t="str">
        <f>VLOOKUP(B64,VN_Emails!B:H,4,0)</f>
        <v>Nguyen Phuong Lan</v>
      </c>
      <c r="E64" s="256" t="str">
        <f>VLOOKUP(B64,VN_Emails!B:H,7,0)</f>
        <v>Legal Manager</v>
      </c>
      <c r="F64" s="257" t="s">
        <v>407</v>
      </c>
      <c r="G64" s="258" t="str">
        <f>SUBSTITUTE(VLOOKUP(B64,VN_Emails!B:H,2,0),"@mapactive.vn","")</f>
        <v>lan.nguyenphuong</v>
      </c>
      <c r="H64" s="259" t="s">
        <v>73</v>
      </c>
      <c r="I64" s="243" t="str">
        <f t="shared" si="2"/>
        <v>Laptop Dell Latitude 5430</v>
      </c>
      <c r="J64" s="243" t="s">
        <v>48</v>
      </c>
      <c r="K64" s="243" t="s">
        <v>51</v>
      </c>
      <c r="L64" s="243" t="s">
        <v>95</v>
      </c>
      <c r="M64" s="243" t="s">
        <v>408</v>
      </c>
      <c r="N64" s="243">
        <v>16</v>
      </c>
      <c r="O64" s="243">
        <v>512</v>
      </c>
      <c r="P64" s="243" t="s">
        <v>47</v>
      </c>
      <c r="Q64" s="243" t="s">
        <v>49</v>
      </c>
      <c r="R64" s="243"/>
      <c r="S64" s="243"/>
      <c r="T64" s="243"/>
      <c r="U64" s="6"/>
      <c r="V64" s="18"/>
      <c r="W64" s="103" t="s">
        <v>91</v>
      </c>
      <c r="X64" s="1" t="s">
        <v>409</v>
      </c>
      <c r="Y64" s="1" t="s">
        <v>43</v>
      </c>
      <c r="Z64" s="1" t="s">
        <v>43</v>
      </c>
      <c r="AA64" s="1" t="s">
        <v>43</v>
      </c>
      <c r="AB64" s="99" t="s">
        <v>43</v>
      </c>
      <c r="AC64" s="15"/>
      <c r="AD64" s="16"/>
      <c r="AE64" s="16"/>
      <c r="AF64" s="16"/>
      <c r="AG64" s="16"/>
      <c r="AH64" s="16"/>
      <c r="AI64" s="16"/>
      <c r="AJ64" s="16"/>
      <c r="AK64" s="16"/>
      <c r="AL64" s="16"/>
      <c r="AM64" s="16"/>
      <c r="AN64" s="16"/>
      <c r="AO64" s="16"/>
      <c r="AP64" s="16"/>
      <c r="AQ64" s="16"/>
      <c r="AR64" s="16"/>
      <c r="AS64" s="16"/>
      <c r="AT64" s="16"/>
    </row>
    <row r="65" spans="1:46" ht="27.6">
      <c r="A65" s="214" t="e">
        <f t="shared" si="3"/>
        <v>#REF!</v>
      </c>
      <c r="B65" s="214" t="s">
        <v>410</v>
      </c>
      <c r="C65" s="214" t="s">
        <v>44</v>
      </c>
      <c r="D65" s="260" t="str">
        <f>VLOOKUP(B65,VN_Emails!B:H,4,0)</f>
        <v>Duong Thi Bao Tram</v>
      </c>
      <c r="E65" s="260" t="str">
        <f>VLOOKUP(B65,VN_Emails!B:H,7,0)</f>
        <v>Wholesale Admin</v>
      </c>
      <c r="F65" s="257" t="s">
        <v>411</v>
      </c>
      <c r="G65" s="259" t="str">
        <f>SUBSTITUTE(VLOOKUP(B65,VN_Emails!B:H,2,0),"@mapactive.vn","")</f>
        <v>tram.duongthibao</v>
      </c>
      <c r="H65" s="259" t="s">
        <v>73</v>
      </c>
      <c r="I65" s="214" t="str">
        <f t="shared" si="2"/>
        <v>Laptop Dell Latitude 3520</v>
      </c>
      <c r="J65" s="214" t="s">
        <v>48</v>
      </c>
      <c r="K65" s="214" t="s">
        <v>51</v>
      </c>
      <c r="L65" s="214" t="s">
        <v>50</v>
      </c>
      <c r="M65" s="243" t="s">
        <v>412</v>
      </c>
      <c r="N65" s="243">
        <v>8</v>
      </c>
      <c r="O65" s="243">
        <v>256</v>
      </c>
      <c r="P65" s="214" t="s">
        <v>47</v>
      </c>
      <c r="Q65" s="214" t="s">
        <v>63</v>
      </c>
      <c r="R65" s="243"/>
      <c r="S65" s="243"/>
      <c r="T65" s="243"/>
      <c r="U65" s="6"/>
      <c r="V65" s="18"/>
      <c r="W65" s="103"/>
      <c r="X65" s="1" t="s">
        <v>413</v>
      </c>
      <c r="Y65" s="1" t="s">
        <v>43</v>
      </c>
      <c r="Z65" s="1" t="s">
        <v>43</v>
      </c>
      <c r="AA65" s="1" t="s">
        <v>43</v>
      </c>
      <c r="AB65" s="99" t="s">
        <v>43</v>
      </c>
      <c r="AC65" s="15"/>
      <c r="AD65" s="16"/>
      <c r="AE65" s="16"/>
      <c r="AF65" s="16"/>
      <c r="AG65" s="16"/>
      <c r="AH65" s="16"/>
      <c r="AI65" s="16"/>
      <c r="AJ65" s="16"/>
      <c r="AK65" s="16"/>
      <c r="AL65" s="16"/>
      <c r="AM65" s="16"/>
      <c r="AN65" s="16"/>
      <c r="AO65" s="16"/>
      <c r="AP65" s="16"/>
      <c r="AQ65" s="16"/>
      <c r="AR65" s="16"/>
      <c r="AS65" s="16"/>
      <c r="AT65" s="16"/>
    </row>
    <row r="66" spans="1:46" ht="41.4">
      <c r="A66" s="243" t="e">
        <f t="shared" si="3"/>
        <v>#REF!</v>
      </c>
      <c r="B66" s="214" t="s">
        <v>414</v>
      </c>
      <c r="C66" s="243" t="s">
        <v>44</v>
      </c>
      <c r="D66" s="256" t="str">
        <f>VLOOKUP(B66,VN_Emails!B:H,4,0)</f>
        <v>Le Ngoc Bao Minh</v>
      </c>
      <c r="E66" s="256" t="str">
        <f>VLOOKUP(B66,VN_Emails!B:H,7,0)</f>
        <v xml:space="preserve">Risk Management &amp; Business Process </v>
      </c>
      <c r="F66" s="257" t="s">
        <v>415</v>
      </c>
      <c r="G66" s="258" t="str">
        <f>SUBSTITUTE(VLOOKUP(B66,VN_Emails!B:H,2,0),"@mapactive.vn","")</f>
        <v>minh.lengocbao</v>
      </c>
      <c r="H66" s="259" t="s">
        <v>73</v>
      </c>
      <c r="I66" s="243" t="str">
        <f t="shared" ref="I66:I97" si="4">J66&amp;" "&amp;K66&amp;" "&amp;L66</f>
        <v>Laptop HP ProBook 440 G9</v>
      </c>
      <c r="J66" s="243" t="s">
        <v>48</v>
      </c>
      <c r="K66" s="243" t="s">
        <v>41</v>
      </c>
      <c r="L66" s="243" t="s">
        <v>55</v>
      </c>
      <c r="M66" s="243" t="s">
        <v>416</v>
      </c>
      <c r="N66" s="243">
        <v>16</v>
      </c>
      <c r="O66" s="243">
        <v>512</v>
      </c>
      <c r="P66" s="243" t="s">
        <v>47</v>
      </c>
      <c r="Q66" s="243" t="s">
        <v>49</v>
      </c>
      <c r="R66" s="243"/>
      <c r="S66" s="243"/>
      <c r="T66" s="243"/>
      <c r="U66" s="6"/>
      <c r="V66" s="18"/>
      <c r="W66" s="103"/>
      <c r="X66" s="1" t="s">
        <v>417</v>
      </c>
      <c r="Y66" s="1" t="s">
        <v>43</v>
      </c>
      <c r="Z66" s="1" t="s">
        <v>43</v>
      </c>
      <c r="AA66" s="1" t="s">
        <v>43</v>
      </c>
      <c r="AB66" s="99" t="s">
        <v>43</v>
      </c>
      <c r="AC66" s="12" t="s">
        <v>43</v>
      </c>
      <c r="AD66" s="16"/>
      <c r="AE66" s="16"/>
      <c r="AF66" s="16"/>
      <c r="AG66" s="16"/>
      <c r="AH66" s="16"/>
      <c r="AI66" s="16"/>
      <c r="AJ66" s="16"/>
      <c r="AK66" s="16"/>
      <c r="AL66" s="16"/>
      <c r="AM66" s="16"/>
      <c r="AN66" s="16"/>
      <c r="AO66" s="16"/>
      <c r="AP66" s="16"/>
      <c r="AQ66" s="16"/>
      <c r="AR66" s="16"/>
      <c r="AS66" s="16"/>
      <c r="AT66" s="16"/>
    </row>
    <row r="67" spans="1:46" ht="27.6">
      <c r="A67" s="214" t="e">
        <f>A81+1</f>
        <v>#REF!</v>
      </c>
      <c r="B67" s="214" t="s">
        <v>418</v>
      </c>
      <c r="C67" s="214" t="s">
        <v>39</v>
      </c>
      <c r="D67" s="260" t="e">
        <f>VLOOKUP(B67,VN_Emails!B:H,4,0)</f>
        <v>#N/A</v>
      </c>
      <c r="E67" s="260" t="e">
        <f>VLOOKUP(B67,VN_Emails!B:H,7,0)</f>
        <v>#N/A</v>
      </c>
      <c r="F67" s="257" t="s">
        <v>419</v>
      </c>
      <c r="G67" s="259" t="e">
        <f>SUBSTITUTE(VLOOKUP(B67,VN_Emails!B:H,2,0),"@mapactive.vn","")</f>
        <v>#N/A</v>
      </c>
      <c r="H67" s="259" t="s">
        <v>73</v>
      </c>
      <c r="I67" s="214" t="str">
        <f t="shared" si="4"/>
        <v>Laptop Dell Latitude 3520</v>
      </c>
      <c r="J67" s="214" t="s">
        <v>48</v>
      </c>
      <c r="K67" s="214" t="s">
        <v>51</v>
      </c>
      <c r="L67" s="214" t="s">
        <v>50</v>
      </c>
      <c r="M67" s="243" t="s">
        <v>420</v>
      </c>
      <c r="N67" s="243">
        <v>12</v>
      </c>
      <c r="O67" s="243">
        <v>256</v>
      </c>
      <c r="P67" s="214" t="s">
        <v>47</v>
      </c>
      <c r="Q67" s="214" t="s">
        <v>63</v>
      </c>
      <c r="R67" s="243"/>
      <c r="S67" s="243"/>
      <c r="T67" s="243"/>
      <c r="U67" s="6"/>
      <c r="V67" s="18"/>
      <c r="W67" s="103"/>
      <c r="X67" s="1" t="s">
        <v>421</v>
      </c>
      <c r="Y67" s="1" t="s">
        <v>43</v>
      </c>
      <c r="Z67" s="1" t="s">
        <v>43</v>
      </c>
      <c r="AA67" s="1" t="s">
        <v>43</v>
      </c>
      <c r="AB67" s="99" t="s">
        <v>43</v>
      </c>
      <c r="AC67" s="15"/>
      <c r="AD67" s="16"/>
      <c r="AE67" s="16"/>
      <c r="AF67" s="16"/>
      <c r="AG67" s="16"/>
      <c r="AH67" s="16"/>
      <c r="AI67" s="16"/>
      <c r="AJ67" s="16"/>
      <c r="AK67" s="16"/>
      <c r="AL67" s="16"/>
      <c r="AM67" s="16"/>
      <c r="AN67" s="16"/>
      <c r="AO67" s="16"/>
      <c r="AP67" s="16"/>
      <c r="AQ67" s="16"/>
      <c r="AR67" s="16"/>
      <c r="AS67" s="16"/>
      <c r="AT67" s="16"/>
    </row>
    <row r="68" spans="1:46" ht="27.6">
      <c r="A68" s="243" t="e">
        <f t="shared" ref="A68:A80" si="5">A67+1</f>
        <v>#REF!</v>
      </c>
      <c r="B68" s="214" t="s">
        <v>422</v>
      </c>
      <c r="C68" s="243" t="s">
        <v>44</v>
      </c>
      <c r="D68" s="256" t="str">
        <f>VLOOKUP(B68,VN_Emails!B:H,4,0)</f>
        <v>Nguyen Thi Qui</v>
      </c>
      <c r="E68" s="256" t="str">
        <f>VLOOKUP(B68,VN_Emails!B:H,7,0)</f>
        <v>General Accountant UFO</v>
      </c>
      <c r="F68" s="257" t="s">
        <v>423</v>
      </c>
      <c r="G68" s="258" t="str">
        <f>SUBSTITUTE(VLOOKUP(B68,VN_Emails!B:H,2,0),"@mapactive.vn","")</f>
        <v>qui.nguyenthi</v>
      </c>
      <c r="H68" s="259" t="s">
        <v>73</v>
      </c>
      <c r="I68" s="243" t="str">
        <f t="shared" si="4"/>
        <v>Laptop Dell Latitude 5430</v>
      </c>
      <c r="J68" s="243" t="s">
        <v>48</v>
      </c>
      <c r="K68" s="243" t="s">
        <v>51</v>
      </c>
      <c r="L68" s="243" t="s">
        <v>95</v>
      </c>
      <c r="M68" s="243" t="s">
        <v>424</v>
      </c>
      <c r="N68" s="243">
        <v>16</v>
      </c>
      <c r="O68" s="243">
        <v>512</v>
      </c>
      <c r="P68" s="243" t="s">
        <v>47</v>
      </c>
      <c r="Q68" s="243" t="s">
        <v>49</v>
      </c>
      <c r="R68" s="243"/>
      <c r="S68" s="243"/>
      <c r="T68" s="243"/>
      <c r="U68" s="6"/>
      <c r="V68" s="18"/>
      <c r="W68" s="103" t="s">
        <v>91</v>
      </c>
      <c r="X68" s="1" t="s">
        <v>425</v>
      </c>
      <c r="Y68" s="1" t="s">
        <v>43</v>
      </c>
      <c r="Z68" s="1" t="s">
        <v>43</v>
      </c>
      <c r="AA68" s="1" t="s">
        <v>43</v>
      </c>
      <c r="AB68" s="99" t="s">
        <v>43</v>
      </c>
      <c r="AC68" s="15"/>
      <c r="AD68" s="16"/>
      <c r="AE68" s="16"/>
      <c r="AF68" s="16"/>
      <c r="AG68" s="16"/>
      <c r="AH68" s="16"/>
      <c r="AI68" s="16"/>
      <c r="AJ68" s="16"/>
      <c r="AK68" s="16"/>
      <c r="AL68" s="16"/>
      <c r="AM68" s="16"/>
      <c r="AN68" s="16"/>
      <c r="AO68" s="16"/>
      <c r="AP68" s="16"/>
      <c r="AQ68" s="16"/>
      <c r="AR68" s="16"/>
      <c r="AS68" s="16"/>
      <c r="AT68" s="16"/>
    </row>
    <row r="69" spans="1:46" ht="27.6">
      <c r="A69" s="243" t="e">
        <f t="shared" si="5"/>
        <v>#REF!</v>
      </c>
      <c r="B69" s="214" t="s">
        <v>426</v>
      </c>
      <c r="C69" s="243" t="s">
        <v>39</v>
      </c>
      <c r="D69" s="256" t="e">
        <f>VLOOKUP(B69,VN_Emails!B:H,4,0)</f>
        <v>#N/A</v>
      </c>
      <c r="E69" s="256" t="e">
        <f>VLOOKUP(B69,VN_Emails!B:H,7,0)</f>
        <v>#N/A</v>
      </c>
      <c r="F69" s="257" t="s">
        <v>427</v>
      </c>
      <c r="G69" s="258" t="e">
        <f>SUBSTITUTE(VLOOKUP(B69,VN_Emails!B:H,2,0),"@mapactive.vn","")</f>
        <v>#N/A</v>
      </c>
      <c r="H69" s="259" t="s">
        <v>73</v>
      </c>
      <c r="I69" s="243" t="str">
        <f t="shared" si="4"/>
        <v>Laptop Dell Latitude 5430</v>
      </c>
      <c r="J69" s="243" t="s">
        <v>48</v>
      </c>
      <c r="K69" s="243" t="s">
        <v>51</v>
      </c>
      <c r="L69" s="243" t="s">
        <v>95</v>
      </c>
      <c r="M69" s="243" t="s">
        <v>428</v>
      </c>
      <c r="N69" s="243">
        <v>16</v>
      </c>
      <c r="O69" s="243">
        <v>512</v>
      </c>
      <c r="P69" s="243" t="s">
        <v>47</v>
      </c>
      <c r="Q69" s="243" t="s">
        <v>49</v>
      </c>
      <c r="R69" s="243"/>
      <c r="S69" s="243"/>
      <c r="T69" s="243" t="s">
        <v>429</v>
      </c>
      <c r="U69" s="6"/>
      <c r="V69" s="18"/>
      <c r="W69" s="103"/>
      <c r="X69" s="1" t="s">
        <v>430</v>
      </c>
      <c r="Y69" s="1" t="s">
        <v>43</v>
      </c>
      <c r="Z69" s="1" t="s">
        <v>43</v>
      </c>
      <c r="AA69" s="1" t="s">
        <v>43</v>
      </c>
      <c r="AB69" s="99" t="s">
        <v>43</v>
      </c>
      <c r="AC69" s="15"/>
      <c r="AD69" s="16"/>
      <c r="AE69" s="16"/>
      <c r="AF69" s="16"/>
      <c r="AG69" s="16"/>
      <c r="AH69" s="16"/>
      <c r="AI69" s="16"/>
      <c r="AJ69" s="16"/>
      <c r="AK69" s="16"/>
      <c r="AL69" s="16"/>
      <c r="AM69" s="16"/>
      <c r="AN69" s="16"/>
      <c r="AO69" s="16"/>
      <c r="AP69" s="16"/>
      <c r="AQ69" s="16"/>
      <c r="AR69" s="16"/>
      <c r="AS69" s="16"/>
      <c r="AT69" s="16"/>
    </row>
    <row r="70" spans="1:46" s="16" customFormat="1" ht="27.6">
      <c r="A70" s="243" t="e">
        <f t="shared" si="5"/>
        <v>#REF!</v>
      </c>
      <c r="B70" s="214" t="s">
        <v>431</v>
      </c>
      <c r="C70" s="243" t="s">
        <v>44</v>
      </c>
      <c r="D70" s="256" t="str">
        <f>VLOOKUP(B70,VN_Emails!B:H,4,0)</f>
        <v>Dao Thi Hong Le</v>
      </c>
      <c r="E70" s="256" t="str">
        <f>VLOOKUP(B70,VN_Emails!B:H,7,0)</f>
        <v xml:space="preserve">Training Assistant Manager </v>
      </c>
      <c r="F70" s="257" t="s">
        <v>432</v>
      </c>
      <c r="G70" s="258" t="str">
        <f>SUBSTITUTE(VLOOKUP(B70,VN_Emails!B:H,2,0),"@mapactive.vn","")</f>
        <v>le.daothihong</v>
      </c>
      <c r="H70" s="259" t="s">
        <v>73</v>
      </c>
      <c r="I70" s="243" t="str">
        <f t="shared" si="4"/>
        <v>Laptop Dell Latitude 5430</v>
      </c>
      <c r="J70" s="243" t="s">
        <v>48</v>
      </c>
      <c r="K70" s="243" t="s">
        <v>51</v>
      </c>
      <c r="L70" s="243" t="s">
        <v>95</v>
      </c>
      <c r="M70" s="243" t="s">
        <v>433</v>
      </c>
      <c r="N70" s="243">
        <v>16</v>
      </c>
      <c r="O70" s="243">
        <v>512</v>
      </c>
      <c r="P70" s="243" t="s">
        <v>47</v>
      </c>
      <c r="Q70" s="243" t="s">
        <v>49</v>
      </c>
      <c r="R70" s="243"/>
      <c r="S70" s="243"/>
      <c r="T70" s="243"/>
      <c r="U70" s="12"/>
      <c r="V70" s="18"/>
      <c r="W70" s="103"/>
      <c r="X70" s="55" t="s">
        <v>434</v>
      </c>
      <c r="Y70" s="1" t="s">
        <v>43</v>
      </c>
      <c r="Z70" s="1" t="s">
        <v>43</v>
      </c>
      <c r="AA70" s="1" t="s">
        <v>43</v>
      </c>
      <c r="AB70" s="99" t="s">
        <v>43</v>
      </c>
      <c r="AC70" s="15"/>
    </row>
    <row r="71" spans="1:46" ht="41.4">
      <c r="A71" s="243" t="e">
        <f t="shared" si="5"/>
        <v>#REF!</v>
      </c>
      <c r="B71" s="214" t="s">
        <v>435</v>
      </c>
      <c r="C71" s="243" t="s">
        <v>44</v>
      </c>
      <c r="D71" s="256" t="str">
        <f>VLOOKUP(B71,VN_Emails!B:H,4,0)</f>
        <v>Nguyen Quoc Huy</v>
      </c>
      <c r="E71" s="256" t="str">
        <f>VLOOKUP(B71,VN_Emails!B:H,7,0)</f>
        <v>Visual Merchandise Supervisor</v>
      </c>
      <c r="F71" s="257" t="s">
        <v>436</v>
      </c>
      <c r="G71" s="258" t="str">
        <f>SUBSTITUTE(VLOOKUP(B71,VN_Emails!B:H,2,0),"@mapactive.vn","")</f>
        <v>huy.nguyenquoc</v>
      </c>
      <c r="H71" s="259" t="s">
        <v>73</v>
      </c>
      <c r="I71" s="243" t="str">
        <f t="shared" si="4"/>
        <v>Laptop Dell Latitude 5430</v>
      </c>
      <c r="J71" s="243" t="s">
        <v>48</v>
      </c>
      <c r="K71" s="243" t="s">
        <v>51</v>
      </c>
      <c r="L71" s="243" t="s">
        <v>95</v>
      </c>
      <c r="M71" s="243" t="s">
        <v>437</v>
      </c>
      <c r="N71" s="243">
        <v>16</v>
      </c>
      <c r="O71" s="243">
        <v>512</v>
      </c>
      <c r="P71" s="243" t="s">
        <v>47</v>
      </c>
      <c r="Q71" s="243" t="s">
        <v>49</v>
      </c>
      <c r="R71" s="243"/>
      <c r="S71" s="243"/>
      <c r="T71" s="243"/>
      <c r="U71" s="6"/>
      <c r="V71" s="18"/>
      <c r="W71" s="156"/>
      <c r="X71" s="55" t="s">
        <v>438</v>
      </c>
      <c r="Y71" s="1" t="s">
        <v>43</v>
      </c>
      <c r="Z71" s="1" t="s">
        <v>43</v>
      </c>
      <c r="AA71" s="1" t="s">
        <v>43</v>
      </c>
      <c r="AB71" s="99" t="s">
        <v>43</v>
      </c>
      <c r="AC71" s="15"/>
      <c r="AD71" s="16"/>
      <c r="AE71" s="16"/>
      <c r="AF71" s="16"/>
      <c r="AG71" s="16"/>
      <c r="AH71" s="16"/>
      <c r="AI71" s="16"/>
      <c r="AJ71" s="16"/>
      <c r="AK71" s="16"/>
      <c r="AL71" s="16"/>
      <c r="AM71" s="16"/>
      <c r="AN71" s="16"/>
      <c r="AO71" s="16"/>
      <c r="AP71" s="16"/>
      <c r="AQ71" s="16"/>
      <c r="AR71" s="16"/>
      <c r="AS71" s="16"/>
      <c r="AT71" s="16"/>
    </row>
    <row r="72" spans="1:46" s="16" customFormat="1" ht="86.4">
      <c r="A72" s="214" t="e">
        <f t="shared" si="5"/>
        <v>#REF!</v>
      </c>
      <c r="B72" s="214" t="s">
        <v>439</v>
      </c>
      <c r="C72" s="214" t="s">
        <v>44</v>
      </c>
      <c r="D72" s="260" t="str">
        <f>VLOOKUP(B72,VN_Emails!B:H,4,0)</f>
        <v>Nguyen Thanh Hai</v>
      </c>
      <c r="E72" s="260" t="str">
        <f>VLOOKUP(B72,VN_Emails!B:H,7,0)</f>
        <v xml:space="preserve">Intern </v>
      </c>
      <c r="F72" s="257" t="s">
        <v>440</v>
      </c>
      <c r="G72" s="259" t="str">
        <f>SUBSTITUTE(VLOOKUP(B72,VN_Emails!B:H,2,0),"@mapactive.vn","")</f>
        <v>hai.nguyenthanh</v>
      </c>
      <c r="H72" s="259" t="s">
        <v>73</v>
      </c>
      <c r="I72" s="214" t="str">
        <f t="shared" si="4"/>
        <v>Laptop Lenovo Thinkpad X280</v>
      </c>
      <c r="J72" s="214" t="s">
        <v>48</v>
      </c>
      <c r="K72" s="214" t="s">
        <v>57</v>
      </c>
      <c r="L72" s="214" t="s">
        <v>222</v>
      </c>
      <c r="M72" s="214" t="s">
        <v>441</v>
      </c>
      <c r="N72" s="214">
        <v>8</v>
      </c>
      <c r="O72" s="243">
        <v>256</v>
      </c>
      <c r="P72" s="214" t="s">
        <v>47</v>
      </c>
      <c r="Q72" s="214" t="s">
        <v>442</v>
      </c>
      <c r="R72" s="214"/>
      <c r="S72" s="214"/>
      <c r="T72" s="214" t="s">
        <v>443</v>
      </c>
      <c r="U72" s="180"/>
      <c r="V72" s="16" t="s">
        <v>444</v>
      </c>
      <c r="W72" s="12"/>
      <c r="X72" s="130" t="s">
        <v>445</v>
      </c>
      <c r="Y72" s="1" t="s">
        <v>43</v>
      </c>
      <c r="Z72" s="1" t="s">
        <v>43</v>
      </c>
      <c r="AA72" s="1" t="s">
        <v>43</v>
      </c>
      <c r="AB72" s="99" t="s">
        <v>43</v>
      </c>
      <c r="AC72" s="15"/>
    </row>
    <row r="73" spans="1:46" ht="27.6">
      <c r="A73" s="243" t="e">
        <f t="shared" si="5"/>
        <v>#REF!</v>
      </c>
      <c r="B73" s="214" t="s">
        <v>446</v>
      </c>
      <c r="C73" s="243" t="s">
        <v>44</v>
      </c>
      <c r="D73" s="256" t="str">
        <f>VLOOKUP(B73,VN_Emails!B:H,4,0)</f>
        <v>Vo Thi Hoang Anh Xuan</v>
      </c>
      <c r="E73" s="256" t="s">
        <v>447</v>
      </c>
      <c r="F73" s="257" t="s">
        <v>448</v>
      </c>
      <c r="G73" s="258" t="str">
        <f>SUBSTITUTE(VLOOKUP(B73,VN_Emails!B:H,2,0),"@mapactive.vn","")</f>
        <v>xuan.vothihoanganh</v>
      </c>
      <c r="H73" s="259" t="s">
        <v>73</v>
      </c>
      <c r="I73" s="243" t="str">
        <f t="shared" si="4"/>
        <v>Laptop Dell Latitude 5430</v>
      </c>
      <c r="J73" s="243" t="s">
        <v>48</v>
      </c>
      <c r="K73" s="243" t="s">
        <v>51</v>
      </c>
      <c r="L73" s="243" t="s">
        <v>95</v>
      </c>
      <c r="M73" s="243" t="s">
        <v>449</v>
      </c>
      <c r="N73" s="243">
        <v>16</v>
      </c>
      <c r="O73" s="243">
        <v>512</v>
      </c>
      <c r="P73" s="243" t="s">
        <v>47</v>
      </c>
      <c r="Q73" s="243" t="s">
        <v>49</v>
      </c>
      <c r="R73" s="243"/>
      <c r="S73" s="243"/>
      <c r="T73" s="243"/>
      <c r="U73" s="6"/>
      <c r="V73" s="19" t="s">
        <v>450</v>
      </c>
      <c r="W73" s="157"/>
      <c r="X73" s="55" t="s">
        <v>451</v>
      </c>
      <c r="Y73" s="1" t="s">
        <v>43</v>
      </c>
      <c r="Z73" s="1"/>
      <c r="AA73" s="1" t="s">
        <v>43</v>
      </c>
      <c r="AB73" s="99" t="s">
        <v>43</v>
      </c>
      <c r="AC73" s="11"/>
    </row>
    <row r="74" spans="1:46" s="17" customFormat="1" ht="27.6">
      <c r="A74" s="243" t="e">
        <f t="shared" si="5"/>
        <v>#REF!</v>
      </c>
      <c r="B74" s="214" t="s">
        <v>452</v>
      </c>
      <c r="C74" s="243" t="s">
        <v>44</v>
      </c>
      <c r="D74" s="256" t="str">
        <f>VLOOKUP(B74,VN_Emails!B:H,4,0)</f>
        <v>Le Thi Anh Tuyet</v>
      </c>
      <c r="E74" s="256" t="str">
        <f>VLOOKUP(B74,VN_Emails!B:H,7,0)</f>
        <v>Tax &amp; Accounting Assistant Manager</v>
      </c>
      <c r="F74" s="257" t="s">
        <v>453</v>
      </c>
      <c r="G74" s="258" t="str">
        <f>SUBSTITUTE(VLOOKUP(B74,VN_Emails!B:H,2,0),"@mapactive.vn","")</f>
        <v>tuyet.lethianh</v>
      </c>
      <c r="H74" s="259" t="s">
        <v>73</v>
      </c>
      <c r="I74" s="243" t="str">
        <f t="shared" si="4"/>
        <v>Laptop Dell Latitude 5430</v>
      </c>
      <c r="J74" s="243" t="s">
        <v>48</v>
      </c>
      <c r="K74" s="243" t="s">
        <v>51</v>
      </c>
      <c r="L74" s="243" t="s">
        <v>95</v>
      </c>
      <c r="M74" s="243" t="s">
        <v>454</v>
      </c>
      <c r="N74" s="243">
        <v>16</v>
      </c>
      <c r="O74" s="243">
        <v>512</v>
      </c>
      <c r="P74" s="243" t="s">
        <v>47</v>
      </c>
      <c r="Q74" s="243" t="s">
        <v>49</v>
      </c>
      <c r="R74" s="243"/>
      <c r="S74" s="243"/>
      <c r="T74" s="243"/>
      <c r="U74" s="14"/>
      <c r="V74" s="20"/>
      <c r="W74" s="107"/>
      <c r="X74" s="60" t="s">
        <v>455</v>
      </c>
      <c r="Y74" s="1" t="s">
        <v>43</v>
      </c>
      <c r="Z74" s="1" t="s">
        <v>43</v>
      </c>
      <c r="AA74" s="1" t="s">
        <v>43</v>
      </c>
      <c r="AB74" s="99" t="s">
        <v>43</v>
      </c>
      <c r="AC74" s="98"/>
    </row>
    <row r="75" spans="1:46" s="16" customFormat="1" ht="57.6">
      <c r="A75" s="243" t="e">
        <f t="shared" si="5"/>
        <v>#REF!</v>
      </c>
      <c r="B75" s="214" t="s">
        <v>456</v>
      </c>
      <c r="C75" s="243" t="s">
        <v>44</v>
      </c>
      <c r="D75" s="256" t="s">
        <v>457</v>
      </c>
      <c r="E75" s="256" t="str">
        <f>VLOOKUP(B75,VN_Emails!B:H,7,0)</f>
        <v xml:space="preserve">Brand Division Manager (Foot Locker) </v>
      </c>
      <c r="F75" s="257" t="s">
        <v>458</v>
      </c>
      <c r="G75" s="258" t="s">
        <v>459</v>
      </c>
      <c r="H75" s="259" t="s">
        <v>73</v>
      </c>
      <c r="I75" s="243" t="str">
        <f t="shared" si="4"/>
        <v>Laptop Dell Latitude 5430</v>
      </c>
      <c r="J75" s="243" t="s">
        <v>48</v>
      </c>
      <c r="K75" s="243" t="s">
        <v>51</v>
      </c>
      <c r="L75" s="243" t="s">
        <v>95</v>
      </c>
      <c r="M75" s="243" t="s">
        <v>460</v>
      </c>
      <c r="N75" s="243">
        <v>16</v>
      </c>
      <c r="O75" s="243">
        <v>512</v>
      </c>
      <c r="P75" s="243" t="s">
        <v>47</v>
      </c>
      <c r="Q75" s="243" t="s">
        <v>49</v>
      </c>
      <c r="R75" s="243"/>
      <c r="S75" s="243"/>
      <c r="T75" s="243"/>
      <c r="U75" s="12"/>
      <c r="V75" s="18" t="s">
        <v>461</v>
      </c>
      <c r="W75" s="103"/>
      <c r="X75" s="55" t="s">
        <v>462</v>
      </c>
      <c r="Y75" s="1" t="s">
        <v>43</v>
      </c>
      <c r="Z75" s="1" t="s">
        <v>43</v>
      </c>
      <c r="AA75" s="1" t="s">
        <v>43</v>
      </c>
      <c r="AB75" s="99" t="s">
        <v>43</v>
      </c>
      <c r="AC75" s="15"/>
    </row>
    <row r="76" spans="1:46" s="16" customFormat="1" ht="55.2">
      <c r="A76" s="214" t="e">
        <f t="shared" si="5"/>
        <v>#REF!</v>
      </c>
      <c r="B76" s="214" t="s">
        <v>463</v>
      </c>
      <c r="C76" s="214" t="s">
        <v>44</v>
      </c>
      <c r="D76" s="260" t="str">
        <f>VLOOKUP(B76,VN_Emails!B:H,4,0)</f>
        <v>Nguyen Ngoc Lan Anh</v>
      </c>
      <c r="E76" s="260" t="str">
        <f>VLOOKUP(B76,VN_Emails!B:H,7,0)</f>
        <v>Graphic Designer</v>
      </c>
      <c r="F76" s="257" t="s">
        <v>464</v>
      </c>
      <c r="G76" s="259" t="str">
        <f>SUBSTITUTE(VLOOKUP(B76,VN_Emails!B:H,2,0),"@mapactive.vn","")</f>
        <v>anh.nguyenngoclan</v>
      </c>
      <c r="H76" s="259" t="s">
        <v>73</v>
      </c>
      <c r="I76" s="214" t="str">
        <f t="shared" si="4"/>
        <v>Laptop Dell G15 5520</v>
      </c>
      <c r="J76" s="214" t="s">
        <v>48</v>
      </c>
      <c r="K76" s="214" t="s">
        <v>51</v>
      </c>
      <c r="L76" s="214" t="s">
        <v>465</v>
      </c>
      <c r="M76" s="214" t="s">
        <v>466</v>
      </c>
      <c r="N76" s="214">
        <v>32</v>
      </c>
      <c r="O76" s="214">
        <v>512</v>
      </c>
      <c r="P76" s="214" t="s">
        <v>47</v>
      </c>
      <c r="Q76" s="214" t="s">
        <v>467</v>
      </c>
      <c r="R76" s="243"/>
      <c r="S76" s="243"/>
      <c r="T76" s="214"/>
      <c r="U76" s="12"/>
      <c r="V76" s="18"/>
      <c r="W76" s="103"/>
      <c r="X76" s="55" t="s">
        <v>468</v>
      </c>
      <c r="Y76" s="1" t="s">
        <v>43</v>
      </c>
      <c r="Z76" s="1" t="s">
        <v>43</v>
      </c>
      <c r="AA76" s="1" t="s">
        <v>43</v>
      </c>
      <c r="AB76" s="99" t="s">
        <v>43</v>
      </c>
      <c r="AC76" s="15"/>
    </row>
    <row r="77" spans="1:46" ht="28.8">
      <c r="A77" s="214" t="e">
        <f t="shared" si="5"/>
        <v>#REF!</v>
      </c>
      <c r="B77" s="214" t="s">
        <v>469</v>
      </c>
      <c r="C77" s="214" t="s">
        <v>44</v>
      </c>
      <c r="D77" s="260" t="str">
        <f>VLOOKUP(B77,VN_Emails!B:H,4,0)</f>
        <v>Le Thanh Duyen</v>
      </c>
      <c r="E77" s="260" t="str">
        <f>VLOOKUP(B77,VN_Emails!B:H,7,0)</f>
        <v xml:space="preserve">Graphic Designer (Foot Locker) </v>
      </c>
      <c r="F77" s="257" t="s">
        <v>470</v>
      </c>
      <c r="G77" s="259" t="str">
        <f>SUBSTITUTE(VLOOKUP(B77,VN_Emails!B:H,2,0),"@mapactive.vn","")</f>
        <v>duyen.lethanh</v>
      </c>
      <c r="H77" s="259" t="s">
        <v>73</v>
      </c>
      <c r="I77" s="214" t="str">
        <f t="shared" si="4"/>
        <v>Desktop HP Pavilion 590-p0xxx</v>
      </c>
      <c r="J77" s="214" t="s">
        <v>40</v>
      </c>
      <c r="K77" s="243" t="s">
        <v>41</v>
      </c>
      <c r="L77" s="243" t="s">
        <v>471</v>
      </c>
      <c r="M77" s="243" t="s">
        <v>472</v>
      </c>
      <c r="N77" s="243">
        <v>8</v>
      </c>
      <c r="O77" s="243">
        <v>1512</v>
      </c>
      <c r="P77" s="243" t="s">
        <v>473</v>
      </c>
      <c r="Q77" s="214" t="s">
        <v>474</v>
      </c>
      <c r="R77" s="243"/>
      <c r="S77" s="243"/>
      <c r="T77" s="243"/>
      <c r="U77" s="6"/>
      <c r="V77" s="19" t="s">
        <v>475</v>
      </c>
      <c r="W77" s="104"/>
      <c r="X77" s="1" t="s">
        <v>476</v>
      </c>
      <c r="Y77" s="1" t="s">
        <v>43</v>
      </c>
      <c r="Z77" s="1" t="s">
        <v>43</v>
      </c>
      <c r="AA77" s="1" t="s">
        <v>43</v>
      </c>
      <c r="AB77" s="99" t="s">
        <v>43</v>
      </c>
      <c r="AC77" s="11"/>
    </row>
    <row r="78" spans="1:46" ht="55.2">
      <c r="A78" s="243" t="e">
        <f t="shared" si="5"/>
        <v>#REF!</v>
      </c>
      <c r="B78" s="214" t="s">
        <v>477</v>
      </c>
      <c r="C78" s="243" t="s">
        <v>44</v>
      </c>
      <c r="D78" s="256" t="str">
        <f>VLOOKUP(B78,VN_Emails!B:H,4,0)</f>
        <v>Nguyen Thanh Anh Thu</v>
      </c>
      <c r="E78" s="256" t="str">
        <f>VLOOKUP(B78,VN_Emails!B:H,7,0)</f>
        <v>Visual Merchandise Manager</v>
      </c>
      <c r="F78" s="257" t="s">
        <v>478</v>
      </c>
      <c r="G78" s="258" t="str">
        <f>SUBSTITUTE(VLOOKUP(B78,VN_Emails!B:H,2,0),"@mapactive.vn","")</f>
        <v>thu.nguyenthanhanh</v>
      </c>
      <c r="H78" s="259" t="s">
        <v>73</v>
      </c>
      <c r="I78" s="243" t="str">
        <f t="shared" si="4"/>
        <v>Laptop Dell G15 5520</v>
      </c>
      <c r="J78" s="243" t="s">
        <v>48</v>
      </c>
      <c r="K78" s="243" t="s">
        <v>51</v>
      </c>
      <c r="L78" s="243" t="s">
        <v>465</v>
      </c>
      <c r="M78" s="243" t="s">
        <v>479</v>
      </c>
      <c r="N78" s="243">
        <v>16</v>
      </c>
      <c r="O78" s="243">
        <v>1000</v>
      </c>
      <c r="P78" s="243" t="s">
        <v>47</v>
      </c>
      <c r="Q78" s="243" t="s">
        <v>480</v>
      </c>
      <c r="R78" s="243"/>
      <c r="S78" s="243"/>
      <c r="T78" s="243"/>
      <c r="U78" s="6"/>
      <c r="V78" s="19"/>
      <c r="W78" s="104"/>
      <c r="X78" s="55" t="s">
        <v>481</v>
      </c>
      <c r="Y78" s="1" t="s">
        <v>43</v>
      </c>
      <c r="Z78" s="1" t="s">
        <v>43</v>
      </c>
      <c r="AA78" s="1" t="s">
        <v>43</v>
      </c>
      <c r="AB78" s="99" t="s">
        <v>43</v>
      </c>
      <c r="AC78" s="11"/>
    </row>
    <row r="79" spans="1:46" s="16" customFormat="1" ht="27.6">
      <c r="A79" s="243" t="e">
        <f t="shared" si="5"/>
        <v>#REF!</v>
      </c>
      <c r="B79" s="214" t="s">
        <v>482</v>
      </c>
      <c r="C79" s="243" t="s">
        <v>44</v>
      </c>
      <c r="D79" s="256" t="str">
        <f>VLOOKUP(B79,VN_Emails!B:H,4,0)</f>
        <v xml:space="preserve">Dao Duc Huy </v>
      </c>
      <c r="E79" s="256" t="str">
        <f>VLOOKUP(B79,VN_Emails!B:H,7,0)</f>
        <v>Area Manager (South)</v>
      </c>
      <c r="F79" s="257" t="s">
        <v>483</v>
      </c>
      <c r="G79" s="258" t="str">
        <f>SUBSTITUTE(VLOOKUP(B79,VN_Emails!B:H,2,0),"@mapactive.vn","")</f>
        <v>Huy.daoduc</v>
      </c>
      <c r="H79" s="259" t="s">
        <v>73</v>
      </c>
      <c r="I79" s="243" t="str">
        <f t="shared" si="4"/>
        <v>Laptop Dell Latitude 5430</v>
      </c>
      <c r="J79" s="243" t="s">
        <v>48</v>
      </c>
      <c r="K79" s="243" t="s">
        <v>51</v>
      </c>
      <c r="L79" s="243" t="s">
        <v>95</v>
      </c>
      <c r="M79" s="243" t="s">
        <v>484</v>
      </c>
      <c r="N79" s="243">
        <v>16</v>
      </c>
      <c r="O79" s="243">
        <v>512</v>
      </c>
      <c r="P79" s="243" t="s">
        <v>47</v>
      </c>
      <c r="Q79" s="243" t="s">
        <v>49</v>
      </c>
      <c r="R79" s="243"/>
      <c r="S79" s="243"/>
      <c r="T79" s="243"/>
      <c r="U79" s="12"/>
      <c r="V79" s="18" t="s">
        <v>485</v>
      </c>
      <c r="W79" s="103"/>
      <c r="X79" s="55" t="s">
        <v>486</v>
      </c>
      <c r="Y79" s="1" t="s">
        <v>43</v>
      </c>
      <c r="Z79" s="1" t="s">
        <v>43</v>
      </c>
      <c r="AA79" s="1" t="s">
        <v>43</v>
      </c>
      <c r="AB79" s="99" t="s">
        <v>43</v>
      </c>
      <c r="AC79" s="15"/>
    </row>
    <row r="80" spans="1:46" ht="30.6">
      <c r="A80" s="214" t="e">
        <f t="shared" si="5"/>
        <v>#REF!</v>
      </c>
      <c r="B80" s="214" t="s">
        <v>487</v>
      </c>
      <c r="C80" s="214" t="s">
        <v>39</v>
      </c>
      <c r="D80" s="260"/>
      <c r="E80" s="260" t="e">
        <f>VLOOKUP(B80,VN_Emails!B:H,7,0)</f>
        <v>#N/A</v>
      </c>
      <c r="F80" s="257" t="s">
        <v>488</v>
      </c>
      <c r="G80" s="259" t="e">
        <f>SUBSTITUTE(VLOOKUP(B80,VN_Emails!B:H,2,0),"@mapactive.vn","")</f>
        <v>#N/A</v>
      </c>
      <c r="H80" s="259" t="s">
        <v>73</v>
      </c>
      <c r="I80" s="214" t="str">
        <f t="shared" si="4"/>
        <v>Laptop Dell Latitude 3520</v>
      </c>
      <c r="J80" s="214" t="s">
        <v>48</v>
      </c>
      <c r="K80" s="214" t="s">
        <v>51</v>
      </c>
      <c r="L80" s="214" t="s">
        <v>50</v>
      </c>
      <c r="M80" s="243" t="s">
        <v>489</v>
      </c>
      <c r="N80" s="214">
        <v>8</v>
      </c>
      <c r="O80" s="243">
        <v>512</v>
      </c>
      <c r="P80" s="214" t="s">
        <v>47</v>
      </c>
      <c r="Q80" s="214" t="s">
        <v>142</v>
      </c>
      <c r="R80" s="243"/>
      <c r="S80" s="243"/>
      <c r="T80" s="243"/>
      <c r="U80" s="6"/>
      <c r="V80" s="19"/>
      <c r="W80" s="104"/>
      <c r="X80" s="55" t="s">
        <v>490</v>
      </c>
      <c r="Y80" s="1" t="s">
        <v>43</v>
      </c>
      <c r="Z80" s="1" t="s">
        <v>43</v>
      </c>
      <c r="AA80" s="1" t="s">
        <v>43</v>
      </c>
      <c r="AB80" s="99" t="s">
        <v>43</v>
      </c>
      <c r="AC80" s="11"/>
    </row>
    <row r="81" spans="1:46" ht="57.6">
      <c r="A81" s="214" t="e">
        <f>A66+1</f>
        <v>#REF!</v>
      </c>
      <c r="B81" s="214" t="s">
        <v>491</v>
      </c>
      <c r="C81" s="214" t="s">
        <v>39</v>
      </c>
      <c r="D81" s="260" t="e">
        <f>VLOOKUP(B81,VN_Emails!B:H,4,0)</f>
        <v>#N/A</v>
      </c>
      <c r="E81" s="260" t="e">
        <f>VLOOKUP(B81,VN_Emails!B:H,7,0)</f>
        <v>#N/A</v>
      </c>
      <c r="F81" s="257" t="s">
        <v>492</v>
      </c>
      <c r="G81" s="259" t="e">
        <f>SUBSTITUTE(VLOOKUP(B81,VN_Emails!B:H,2,0),"@mapactive.vn","")</f>
        <v>#N/A</v>
      </c>
      <c r="H81" s="259" t="s">
        <v>73</v>
      </c>
      <c r="I81" s="214" t="str">
        <f t="shared" si="4"/>
        <v>Laptop Dell Latitude 3520</v>
      </c>
      <c r="J81" s="214" t="s">
        <v>48</v>
      </c>
      <c r="K81" s="214" t="s">
        <v>51</v>
      </c>
      <c r="L81" s="214" t="s">
        <v>50</v>
      </c>
      <c r="M81" s="243" t="s">
        <v>493</v>
      </c>
      <c r="N81" s="243">
        <v>8</v>
      </c>
      <c r="O81" s="243">
        <v>256</v>
      </c>
      <c r="P81" s="214" t="s">
        <v>47</v>
      </c>
      <c r="Q81" s="214" t="s">
        <v>63</v>
      </c>
      <c r="R81" s="243"/>
      <c r="S81" s="243"/>
      <c r="T81" s="243" t="s">
        <v>494</v>
      </c>
      <c r="U81" s="6"/>
      <c r="V81" s="18" t="s">
        <v>495</v>
      </c>
      <c r="W81" s="103"/>
      <c r="X81" s="1" t="s">
        <v>496</v>
      </c>
      <c r="Y81" s="1" t="s">
        <v>43</v>
      </c>
      <c r="Z81" s="1" t="s">
        <v>43</v>
      </c>
      <c r="AA81" s="1" t="s">
        <v>43</v>
      </c>
      <c r="AB81" s="99" t="s">
        <v>43</v>
      </c>
      <c r="AC81" s="15"/>
      <c r="AD81" s="16" t="s">
        <v>497</v>
      </c>
      <c r="AE81" s="16"/>
      <c r="AF81" s="16"/>
      <c r="AG81" s="16"/>
      <c r="AH81" s="16"/>
      <c r="AI81" s="16"/>
      <c r="AJ81" s="16"/>
      <c r="AK81" s="16"/>
      <c r="AL81" s="16"/>
      <c r="AM81" s="16"/>
      <c r="AN81" s="16"/>
      <c r="AO81" s="16"/>
      <c r="AP81" s="16"/>
      <c r="AQ81" s="16"/>
      <c r="AR81" s="16"/>
      <c r="AS81" s="16"/>
      <c r="AT81" s="16"/>
    </row>
    <row r="82" spans="1:46" ht="27.6">
      <c r="A82" s="214" t="e">
        <f>A80+1</f>
        <v>#REF!</v>
      </c>
      <c r="B82" s="214" t="s">
        <v>498</v>
      </c>
      <c r="C82" s="214" t="s">
        <v>39</v>
      </c>
      <c r="D82" s="260" t="e">
        <f>VLOOKUP(B82,VN_Emails!B:H,4,0)</f>
        <v>#N/A</v>
      </c>
      <c r="E82" s="260" t="e">
        <f>VLOOKUP(B82,VN_Emails!B:H,7,0)</f>
        <v>#N/A</v>
      </c>
      <c r="F82" s="257" t="s">
        <v>499</v>
      </c>
      <c r="G82" s="259" t="e">
        <f>SUBSTITUTE(VLOOKUP(B82,VN_Emails!B:H,2,0),"@mapactive.vn","")</f>
        <v>#N/A</v>
      </c>
      <c r="H82" s="259" t="s">
        <v>73</v>
      </c>
      <c r="I82" s="214" t="str">
        <f t="shared" si="4"/>
        <v>Laptop Dell Latitude 3520</v>
      </c>
      <c r="J82" s="214" t="s">
        <v>48</v>
      </c>
      <c r="K82" s="214" t="s">
        <v>51</v>
      </c>
      <c r="L82" s="214" t="s">
        <v>50</v>
      </c>
      <c r="M82" s="243" t="s">
        <v>500</v>
      </c>
      <c r="N82" s="214">
        <v>8</v>
      </c>
      <c r="O82" s="243">
        <v>256</v>
      </c>
      <c r="P82" s="214" t="s">
        <v>47</v>
      </c>
      <c r="Q82" s="214" t="s">
        <v>61</v>
      </c>
      <c r="R82" s="243"/>
      <c r="S82" s="243"/>
      <c r="T82" s="243" t="s">
        <v>501</v>
      </c>
      <c r="U82" s="6"/>
      <c r="V82" s="19"/>
      <c r="W82" s="104"/>
      <c r="X82" s="55" t="s">
        <v>502</v>
      </c>
      <c r="Y82" s="1" t="s">
        <v>43</v>
      </c>
      <c r="Z82" s="1" t="s">
        <v>43</v>
      </c>
      <c r="AA82" s="1" t="s">
        <v>43</v>
      </c>
      <c r="AB82" s="99" t="s">
        <v>43</v>
      </c>
      <c r="AC82" s="11"/>
    </row>
    <row r="83" spans="1:46" ht="27.6">
      <c r="A83" s="214" t="e">
        <f>A82+1</f>
        <v>#REF!</v>
      </c>
      <c r="B83" s="214" t="s">
        <v>503</v>
      </c>
      <c r="C83" s="214" t="s">
        <v>39</v>
      </c>
      <c r="D83" s="260" t="e">
        <f>VLOOKUP(B83,VN_Emails!B:H,4,0)</f>
        <v>#N/A</v>
      </c>
      <c r="E83" s="260" t="e">
        <f>VLOOKUP(B83,VN_Emails!B:H,7,0)</f>
        <v>#N/A</v>
      </c>
      <c r="F83" s="257" t="s">
        <v>504</v>
      </c>
      <c r="G83" s="259" t="e">
        <f>SUBSTITUTE(VLOOKUP(B83,VN_Emails!B:H,2,0),"@mapactive.vn","")</f>
        <v>#N/A</v>
      </c>
      <c r="H83" s="259" t="s">
        <v>73</v>
      </c>
      <c r="I83" s="214" t="str">
        <f t="shared" si="4"/>
        <v>Laptop Dell Latitude 3520</v>
      </c>
      <c r="J83" s="214" t="s">
        <v>48</v>
      </c>
      <c r="K83" s="214" t="s">
        <v>51</v>
      </c>
      <c r="L83" s="214" t="s">
        <v>50</v>
      </c>
      <c r="M83" s="243" t="s">
        <v>505</v>
      </c>
      <c r="N83" s="214">
        <v>8</v>
      </c>
      <c r="O83" s="243">
        <v>256</v>
      </c>
      <c r="P83" s="214" t="s">
        <v>47</v>
      </c>
      <c r="Q83" s="214" t="s">
        <v>61</v>
      </c>
      <c r="R83" s="243"/>
      <c r="S83" s="243"/>
      <c r="T83" s="243" t="s">
        <v>506</v>
      </c>
      <c r="U83" s="6"/>
      <c r="V83" s="19"/>
      <c r="W83" s="104"/>
      <c r="X83" s="55" t="s">
        <v>507</v>
      </c>
      <c r="Y83" s="1" t="s">
        <v>43</v>
      </c>
      <c r="Z83" s="1" t="s">
        <v>43</v>
      </c>
      <c r="AA83" s="1" t="s">
        <v>43</v>
      </c>
      <c r="AB83" s="99" t="s">
        <v>43</v>
      </c>
      <c r="AC83" s="11"/>
    </row>
    <row r="84" spans="1:46" ht="55.2">
      <c r="A84" s="243" t="e">
        <f>#REF!+1</f>
        <v>#REF!</v>
      </c>
      <c r="B84" s="214" t="s">
        <v>508</v>
      </c>
      <c r="C84" s="243" t="s">
        <v>44</v>
      </c>
      <c r="D84" s="256" t="s">
        <v>509</v>
      </c>
      <c r="E84" s="256" t="s">
        <v>510</v>
      </c>
      <c r="F84" s="257" t="s">
        <v>511</v>
      </c>
      <c r="G84" s="258" t="s">
        <v>512</v>
      </c>
      <c r="H84" s="259" t="s">
        <v>73</v>
      </c>
      <c r="I84" s="243" t="str">
        <f t="shared" si="4"/>
        <v>Laptop Dell Latitude 5430</v>
      </c>
      <c r="J84" s="243" t="s">
        <v>48</v>
      </c>
      <c r="K84" s="243" t="s">
        <v>51</v>
      </c>
      <c r="L84" s="243" t="s">
        <v>95</v>
      </c>
      <c r="M84" s="243" t="s">
        <v>513</v>
      </c>
      <c r="N84" s="243">
        <v>16</v>
      </c>
      <c r="O84" s="243">
        <v>512</v>
      </c>
      <c r="P84" s="243" t="s">
        <v>47</v>
      </c>
      <c r="Q84" s="243" t="s">
        <v>514</v>
      </c>
      <c r="R84" s="243"/>
      <c r="S84" s="243"/>
      <c r="T84" s="243" t="s">
        <v>515</v>
      </c>
      <c r="U84" s="12"/>
      <c r="V84" s="19" t="s">
        <v>516</v>
      </c>
      <c r="W84" s="104"/>
      <c r="X84" s="55" t="s">
        <v>517</v>
      </c>
      <c r="Y84" s="1" t="s">
        <v>43</v>
      </c>
      <c r="Z84" s="1" t="s">
        <v>43</v>
      </c>
      <c r="AA84" s="1" t="s">
        <v>43</v>
      </c>
      <c r="AB84" s="99" t="s">
        <v>43</v>
      </c>
      <c r="AC84" s="11"/>
    </row>
    <row r="85" spans="1:46" ht="27.6">
      <c r="A85" s="214" t="e">
        <f>A84+1</f>
        <v>#REF!</v>
      </c>
      <c r="B85" s="214" t="s">
        <v>518</v>
      </c>
      <c r="C85" s="214" t="s">
        <v>39</v>
      </c>
      <c r="D85" s="260" t="e">
        <f>VLOOKUP(B85,VN_Emails!B:H,4,0)</f>
        <v>#N/A</v>
      </c>
      <c r="E85" s="260" t="e">
        <f>VLOOKUP(B85,VN_Emails!B:H,7,0)</f>
        <v>#N/A</v>
      </c>
      <c r="F85" s="257" t="s">
        <v>519</v>
      </c>
      <c r="G85" s="259" t="e">
        <f>SUBSTITUTE(VLOOKUP(B85,VN_Emails!B:H,2,0),"@mapactive.vn","")</f>
        <v>#N/A</v>
      </c>
      <c r="H85" s="259" t="s">
        <v>73</v>
      </c>
      <c r="I85" s="214" t="str">
        <f t="shared" si="4"/>
        <v>Laptop Dell Latitude 3520</v>
      </c>
      <c r="J85" s="214" t="s">
        <v>48</v>
      </c>
      <c r="K85" s="214" t="s">
        <v>51</v>
      </c>
      <c r="L85" s="214" t="s">
        <v>50</v>
      </c>
      <c r="M85" s="243" t="s">
        <v>520</v>
      </c>
      <c r="N85" s="214">
        <v>8</v>
      </c>
      <c r="O85" s="243">
        <v>256</v>
      </c>
      <c r="P85" s="214" t="s">
        <v>47</v>
      </c>
      <c r="Q85" s="214" t="s">
        <v>61</v>
      </c>
      <c r="R85" s="243"/>
      <c r="S85" s="243"/>
      <c r="T85" s="243"/>
      <c r="U85" s="6"/>
      <c r="V85" s="19"/>
      <c r="W85" s="104"/>
      <c r="X85" s="1" t="s">
        <v>521</v>
      </c>
      <c r="Y85" s="1" t="s">
        <v>43</v>
      </c>
      <c r="Z85" s="1" t="s">
        <v>43</v>
      </c>
      <c r="AA85" s="1" t="s">
        <v>43</v>
      </c>
      <c r="AB85" s="99" t="s">
        <v>43</v>
      </c>
      <c r="AC85" s="11"/>
    </row>
    <row r="86" spans="1:46" ht="41.4">
      <c r="A86" s="214" t="e">
        <f>A85+1</f>
        <v>#REF!</v>
      </c>
      <c r="B86" s="277" t="s">
        <v>45</v>
      </c>
      <c r="C86" s="214" t="s">
        <v>39</v>
      </c>
      <c r="D86" s="260"/>
      <c r="E86" s="260" t="e">
        <f>VLOOKUP(B86,VN_Emails!B:H,7,0)</f>
        <v>#N/A</v>
      </c>
      <c r="F86" s="257" t="s">
        <v>522</v>
      </c>
      <c r="G86" s="259" t="e">
        <f>SUBSTITUTE(VLOOKUP(B86,VN_Emails!B:H,2,0),"@mapactive.vn","")</f>
        <v>#N/A</v>
      </c>
      <c r="H86" s="259" t="s">
        <v>73</v>
      </c>
      <c r="I86" s="214" t="str">
        <f t="shared" si="4"/>
        <v>Desktop HP ProDesk 400 G3 Mini</v>
      </c>
      <c r="J86" s="214" t="s">
        <v>40</v>
      </c>
      <c r="K86" s="243" t="s">
        <v>41</v>
      </c>
      <c r="L86" s="243" t="s">
        <v>523</v>
      </c>
      <c r="M86" s="214" t="s">
        <v>46</v>
      </c>
      <c r="N86" s="214">
        <v>8</v>
      </c>
      <c r="O86" s="214">
        <v>500</v>
      </c>
      <c r="P86" s="214" t="s">
        <v>47</v>
      </c>
      <c r="Q86" s="214" t="s">
        <v>524</v>
      </c>
      <c r="R86" s="256"/>
      <c r="S86" s="256"/>
      <c r="T86" s="256"/>
      <c r="U86" s="11"/>
      <c r="V86" s="19"/>
      <c r="W86" s="104"/>
      <c r="X86" s="1"/>
      <c r="Y86" s="1" t="s">
        <v>43</v>
      </c>
      <c r="Z86" s="1" t="s">
        <v>43</v>
      </c>
      <c r="AA86" s="1" t="s">
        <v>43</v>
      </c>
      <c r="AB86" s="99" t="s">
        <v>43</v>
      </c>
      <c r="AC86" s="11"/>
    </row>
    <row r="87" spans="1:46" ht="41.4">
      <c r="A87" s="214" t="e">
        <f>A86+1</f>
        <v>#REF!</v>
      </c>
      <c r="B87" s="214" t="s">
        <v>525</v>
      </c>
      <c r="C87" s="214" t="s">
        <v>39</v>
      </c>
      <c r="D87" s="260" t="s">
        <v>526</v>
      </c>
      <c r="E87" s="260" t="s">
        <v>527</v>
      </c>
      <c r="F87" s="257" t="s">
        <v>528</v>
      </c>
      <c r="G87" s="259"/>
      <c r="H87" s="259" t="s">
        <v>73</v>
      </c>
      <c r="I87" s="214" t="str">
        <f t="shared" si="4"/>
        <v>Desktop HP ProDesk 400 G3 Mini</v>
      </c>
      <c r="J87" s="214" t="s">
        <v>40</v>
      </c>
      <c r="K87" s="243" t="s">
        <v>41</v>
      </c>
      <c r="L87" s="243" t="s">
        <v>523</v>
      </c>
      <c r="M87" s="214" t="s">
        <v>529</v>
      </c>
      <c r="N87" s="214">
        <v>8</v>
      </c>
      <c r="O87" s="214">
        <v>500</v>
      </c>
      <c r="P87" s="214" t="s">
        <v>47</v>
      </c>
      <c r="Q87" s="214" t="s">
        <v>524</v>
      </c>
      <c r="R87" s="243"/>
      <c r="S87" s="243"/>
      <c r="T87" s="243" t="s">
        <v>530</v>
      </c>
      <c r="U87" s="6"/>
      <c r="V87" s="19" t="s">
        <v>531</v>
      </c>
      <c r="W87" s="104"/>
      <c r="X87" s="1"/>
      <c r="Y87" s="1" t="s">
        <v>43</v>
      </c>
      <c r="Z87" s="1" t="s">
        <v>43</v>
      </c>
      <c r="AA87" s="1" t="s">
        <v>43</v>
      </c>
      <c r="AB87" s="99" t="s">
        <v>43</v>
      </c>
      <c r="AC87" s="11"/>
    </row>
    <row r="88" spans="1:46" ht="43.2">
      <c r="A88" s="214" t="e">
        <f>#REF!+1</f>
        <v>#REF!</v>
      </c>
      <c r="B88" s="214" t="s">
        <v>532</v>
      </c>
      <c r="C88" s="214" t="s">
        <v>39</v>
      </c>
      <c r="D88" s="256"/>
      <c r="E88" s="256" t="s">
        <v>533</v>
      </c>
      <c r="F88" s="273" t="s">
        <v>534</v>
      </c>
      <c r="G88" s="258"/>
      <c r="H88" s="259" t="s">
        <v>73</v>
      </c>
      <c r="I88" s="214" t="str">
        <f t="shared" si="4"/>
        <v>Laptop Lenovo Thinkpad X280</v>
      </c>
      <c r="J88" s="214" t="s">
        <v>48</v>
      </c>
      <c r="K88" s="214" t="s">
        <v>57</v>
      </c>
      <c r="L88" s="214" t="s">
        <v>222</v>
      </c>
      <c r="M88" s="243" t="s">
        <v>535</v>
      </c>
      <c r="N88" s="243">
        <v>8</v>
      </c>
      <c r="O88" s="243">
        <v>256</v>
      </c>
      <c r="P88" s="214" t="s">
        <v>47</v>
      </c>
      <c r="Q88" s="214" t="s">
        <v>58</v>
      </c>
      <c r="R88" s="278"/>
      <c r="S88" s="243"/>
      <c r="T88" s="243"/>
      <c r="U88" s="6"/>
      <c r="V88" s="19" t="s">
        <v>536</v>
      </c>
      <c r="W88" s="104"/>
      <c r="X88" s="1"/>
      <c r="Y88" s="1" t="s">
        <v>43</v>
      </c>
      <c r="Z88" s="1" t="s">
        <v>43</v>
      </c>
      <c r="AA88" s="1" t="s">
        <v>43</v>
      </c>
      <c r="AB88" s="99" t="s">
        <v>43</v>
      </c>
      <c r="AC88" s="11"/>
    </row>
    <row r="89" spans="1:46" ht="27.6">
      <c r="A89" s="243" t="e">
        <f t="shared" ref="A89:A95" si="6">A88+1</f>
        <v>#REF!</v>
      </c>
      <c r="B89" s="214" t="s">
        <v>537</v>
      </c>
      <c r="C89" s="243" t="s">
        <v>39</v>
      </c>
      <c r="D89" s="256" t="e">
        <f>VLOOKUP(B89,VN_Emails!B:H,4,0)</f>
        <v>#N/A</v>
      </c>
      <c r="E89" s="256" t="e">
        <f>VLOOKUP(B89,VN_Emails!B:H,7,0)</f>
        <v>#N/A</v>
      </c>
      <c r="F89" s="257" t="s">
        <v>538</v>
      </c>
      <c r="G89" s="258" t="e">
        <f>SUBSTITUTE(VLOOKUP(B89,VN_Emails!B:H,2,0),"@mapactive.vn","")</f>
        <v>#N/A</v>
      </c>
      <c r="H89" s="259" t="s">
        <v>73</v>
      </c>
      <c r="I89" s="243" t="str">
        <f t="shared" si="4"/>
        <v>Laptop Dell Latitude 5430</v>
      </c>
      <c r="J89" s="243" t="s">
        <v>48</v>
      </c>
      <c r="K89" s="243" t="s">
        <v>51</v>
      </c>
      <c r="L89" s="243" t="s">
        <v>95</v>
      </c>
      <c r="M89" s="243" t="s">
        <v>539</v>
      </c>
      <c r="N89" s="243">
        <v>16</v>
      </c>
      <c r="O89" s="243">
        <v>512</v>
      </c>
      <c r="P89" s="243" t="s">
        <v>47</v>
      </c>
      <c r="Q89" s="243" t="s">
        <v>63</v>
      </c>
      <c r="R89" s="278"/>
      <c r="S89" s="243"/>
      <c r="T89" s="243"/>
      <c r="U89" s="12"/>
      <c r="V89" s="19"/>
      <c r="W89" s="104"/>
      <c r="X89" s="1"/>
      <c r="Y89" s="1" t="s">
        <v>43</v>
      </c>
      <c r="Z89" s="1" t="s">
        <v>43</v>
      </c>
      <c r="AA89" s="1" t="s">
        <v>43</v>
      </c>
      <c r="AB89" s="99" t="s">
        <v>43</v>
      </c>
      <c r="AC89" s="11"/>
    </row>
    <row r="90" spans="1:46" ht="27.6">
      <c r="A90" s="243" t="e">
        <f t="shared" si="6"/>
        <v>#REF!</v>
      </c>
      <c r="B90" s="214" t="s">
        <v>540</v>
      </c>
      <c r="C90" s="243" t="s">
        <v>44</v>
      </c>
      <c r="D90" s="256" t="s">
        <v>541</v>
      </c>
      <c r="E90" s="256" t="s">
        <v>542</v>
      </c>
      <c r="F90" s="257" t="s">
        <v>543</v>
      </c>
      <c r="G90" s="258"/>
      <c r="H90" s="259" t="s">
        <v>73</v>
      </c>
      <c r="I90" s="243" t="str">
        <f t="shared" si="4"/>
        <v xml:space="preserve">Desktop DeLUX </v>
      </c>
      <c r="J90" s="243" t="s">
        <v>40</v>
      </c>
      <c r="K90" s="243" t="s">
        <v>544</v>
      </c>
      <c r="L90" s="243"/>
      <c r="M90" s="243" t="s">
        <v>545</v>
      </c>
      <c r="N90" s="243">
        <v>16</v>
      </c>
      <c r="O90" s="243">
        <v>1024</v>
      </c>
      <c r="P90" s="243" t="s">
        <v>42</v>
      </c>
      <c r="Q90" s="243" t="s">
        <v>546</v>
      </c>
      <c r="R90" s="279"/>
      <c r="S90" s="280"/>
      <c r="T90" s="280"/>
      <c r="U90" s="57"/>
      <c r="V90" s="68"/>
      <c r="W90" s="108"/>
      <c r="X90" s="8"/>
      <c r="Y90" s="8" t="s">
        <v>43</v>
      </c>
      <c r="Z90" s="8" t="s">
        <v>43</v>
      </c>
      <c r="AA90" s="8" t="s">
        <v>43</v>
      </c>
      <c r="AB90" s="100" t="s">
        <v>43</v>
      </c>
      <c r="AC90" s="11"/>
    </row>
    <row r="91" spans="1:46" ht="43.2">
      <c r="A91" s="243" t="e">
        <f t="shared" si="6"/>
        <v>#REF!</v>
      </c>
      <c r="B91" s="214" t="s">
        <v>547</v>
      </c>
      <c r="C91" s="243" t="s">
        <v>44</v>
      </c>
      <c r="D91" s="256" t="str">
        <f>VLOOKUP(B91,VN_Emails!B:H,4,0)</f>
        <v>Huynh Kim Ngoc Tran</v>
      </c>
      <c r="E91" s="256" t="s">
        <v>548</v>
      </c>
      <c r="F91" s="257" t="s">
        <v>549</v>
      </c>
      <c r="G91" s="258" t="str">
        <f>SUBSTITUTE(VLOOKUP(B91,VN_Emails!B:H,2,0),"@mapactive.vn","")</f>
        <v>tran.huynhkimngoc</v>
      </c>
      <c r="H91" s="259" t="s">
        <v>73</v>
      </c>
      <c r="I91" s="243" t="str">
        <f t="shared" si="4"/>
        <v>Laptop Dell Latitude 5430</v>
      </c>
      <c r="J91" s="243" t="s">
        <v>48</v>
      </c>
      <c r="K91" s="243" t="s">
        <v>51</v>
      </c>
      <c r="L91" s="243" t="s">
        <v>95</v>
      </c>
      <c r="M91" s="243" t="s">
        <v>550</v>
      </c>
      <c r="N91" s="243">
        <v>16</v>
      </c>
      <c r="O91" s="243">
        <v>512</v>
      </c>
      <c r="P91" s="243" t="s">
        <v>47</v>
      </c>
      <c r="Q91" s="243" t="s">
        <v>49</v>
      </c>
      <c r="R91" s="281"/>
      <c r="S91" s="282"/>
      <c r="T91" s="280" t="s">
        <v>551</v>
      </c>
      <c r="U91" s="57"/>
      <c r="V91" s="132" t="s">
        <v>552</v>
      </c>
      <c r="W91" s="108"/>
      <c r="X91" s="8"/>
      <c r="Y91" s="8" t="s">
        <v>43</v>
      </c>
      <c r="Z91" s="8" t="s">
        <v>43</v>
      </c>
      <c r="AA91" s="8" t="s">
        <v>43</v>
      </c>
      <c r="AB91" s="100" t="s">
        <v>43</v>
      </c>
      <c r="AC91" s="11"/>
    </row>
    <row r="92" spans="1:46" s="16" customFormat="1" ht="57.6">
      <c r="A92" s="214" t="e">
        <f t="shared" si="6"/>
        <v>#REF!</v>
      </c>
      <c r="B92" s="214" t="s">
        <v>553</v>
      </c>
      <c r="C92" s="214" t="s">
        <v>39</v>
      </c>
      <c r="D92" s="256" t="s">
        <v>554</v>
      </c>
      <c r="E92" s="260" t="s">
        <v>555</v>
      </c>
      <c r="F92" s="273" t="s">
        <v>556</v>
      </c>
      <c r="G92" s="214"/>
      <c r="H92" s="259" t="s">
        <v>73</v>
      </c>
      <c r="I92" s="214" t="str">
        <f t="shared" si="4"/>
        <v>Laptop Lenovo Thinkpad X280</v>
      </c>
      <c r="J92" s="214" t="s">
        <v>48</v>
      </c>
      <c r="K92" s="214" t="s">
        <v>57</v>
      </c>
      <c r="L92" s="214" t="s">
        <v>222</v>
      </c>
      <c r="M92" s="214" t="s">
        <v>557</v>
      </c>
      <c r="N92" s="214">
        <v>8</v>
      </c>
      <c r="O92" s="214">
        <v>256</v>
      </c>
      <c r="P92" s="214" t="s">
        <v>47</v>
      </c>
      <c r="Q92" s="214" t="s">
        <v>558</v>
      </c>
      <c r="R92" s="283"/>
      <c r="S92" s="260"/>
      <c r="T92" s="284" t="s">
        <v>559</v>
      </c>
      <c r="U92" s="127"/>
      <c r="V92" s="18" t="s">
        <v>560</v>
      </c>
      <c r="W92" s="103"/>
      <c r="X92" s="15"/>
      <c r="Y92" s="55" t="s">
        <v>43</v>
      </c>
      <c r="Z92" s="55" t="s">
        <v>43</v>
      </c>
      <c r="AA92" s="55" t="s">
        <v>43</v>
      </c>
      <c r="AB92" s="128" t="s">
        <v>43</v>
      </c>
      <c r="AC92" s="15"/>
    </row>
    <row r="93" spans="1:46" ht="69">
      <c r="A93" s="214" t="e">
        <f t="shared" si="6"/>
        <v>#REF!</v>
      </c>
      <c r="B93" s="214" t="s">
        <v>561</v>
      </c>
      <c r="C93" s="214" t="s">
        <v>39</v>
      </c>
      <c r="D93" s="256" t="s">
        <v>554</v>
      </c>
      <c r="E93" s="256" t="s">
        <v>562</v>
      </c>
      <c r="F93" s="257" t="s">
        <v>563</v>
      </c>
      <c r="G93" s="243" t="s">
        <v>564</v>
      </c>
      <c r="H93" s="259" t="s">
        <v>73</v>
      </c>
      <c r="I93" s="214" t="str">
        <f t="shared" ref="I93:I104" si="7">J93&amp;" "&amp;K93&amp;" "&amp;L93</f>
        <v>Laptop Lenovo Thinkpad X280</v>
      </c>
      <c r="J93" s="214" t="s">
        <v>48</v>
      </c>
      <c r="K93" s="243" t="s">
        <v>57</v>
      </c>
      <c r="L93" s="214" t="s">
        <v>222</v>
      </c>
      <c r="M93" s="243" t="s">
        <v>565</v>
      </c>
      <c r="N93" s="243">
        <v>8</v>
      </c>
      <c r="O93" s="243">
        <v>256</v>
      </c>
      <c r="P93" s="243" t="s">
        <v>47</v>
      </c>
      <c r="Q93" s="214" t="s">
        <v>558</v>
      </c>
      <c r="R93" s="285"/>
      <c r="S93" s="286"/>
      <c r="T93" s="286" t="s">
        <v>566</v>
      </c>
      <c r="U93" s="97"/>
      <c r="V93" s="68" t="s">
        <v>567</v>
      </c>
      <c r="W93" s="108"/>
      <c r="X93" s="97"/>
      <c r="Y93" s="8" t="s">
        <v>43</v>
      </c>
      <c r="Z93" s="8" t="s">
        <v>43</v>
      </c>
      <c r="AA93" s="8" t="s">
        <v>43</v>
      </c>
      <c r="AB93" s="100" t="s">
        <v>43</v>
      </c>
      <c r="AC93" s="1" t="s">
        <v>43</v>
      </c>
    </row>
    <row r="94" spans="1:46" ht="69">
      <c r="A94" s="243" t="e">
        <f t="shared" si="6"/>
        <v>#REF!</v>
      </c>
      <c r="B94" s="214" t="s">
        <v>568</v>
      </c>
      <c r="C94" s="243" t="s">
        <v>44</v>
      </c>
      <c r="D94" s="256" t="str">
        <f>VLOOKUP(B94,VN_Emails!B:H,4,0)</f>
        <v>Luu Giang Cam Van</v>
      </c>
      <c r="E94" s="256" t="s">
        <v>569</v>
      </c>
      <c r="F94" s="257" t="s">
        <v>570</v>
      </c>
      <c r="G94" s="243" t="s">
        <v>571</v>
      </c>
      <c r="H94" s="259" t="s">
        <v>73</v>
      </c>
      <c r="I94" s="243" t="str">
        <f t="shared" si="7"/>
        <v>Laptop Dell Latitude 5430</v>
      </c>
      <c r="J94" s="243" t="s">
        <v>48</v>
      </c>
      <c r="K94" s="243" t="s">
        <v>51</v>
      </c>
      <c r="L94" s="243" t="s">
        <v>95</v>
      </c>
      <c r="M94" s="243" t="s">
        <v>572</v>
      </c>
      <c r="N94" s="243">
        <v>16</v>
      </c>
      <c r="O94" s="243">
        <v>512</v>
      </c>
      <c r="P94" s="256" t="s">
        <v>47</v>
      </c>
      <c r="Q94" s="243" t="s">
        <v>49</v>
      </c>
      <c r="R94" s="285"/>
      <c r="S94" s="286"/>
      <c r="T94" s="286"/>
      <c r="U94" s="97"/>
      <c r="V94" s="68" t="s">
        <v>573</v>
      </c>
      <c r="W94" s="108"/>
      <c r="X94" s="97"/>
      <c r="Y94" s="97"/>
      <c r="Z94" s="8" t="s">
        <v>43</v>
      </c>
      <c r="AA94" s="8" t="s">
        <v>43</v>
      </c>
      <c r="AB94" s="8" t="s">
        <v>43</v>
      </c>
      <c r="AC94" s="8" t="s">
        <v>43</v>
      </c>
    </row>
    <row r="95" spans="1:46" ht="45.75" customHeight="1">
      <c r="A95" s="243" t="e">
        <f t="shared" si="6"/>
        <v>#REF!</v>
      </c>
      <c r="B95" s="214" t="s">
        <v>574</v>
      </c>
      <c r="C95" s="243" t="s">
        <v>44</v>
      </c>
      <c r="D95" s="256" t="s">
        <v>575</v>
      </c>
      <c r="E95" s="256" t="str">
        <f>VLOOKUP(B95,VN_Emails!B:H,7,0)</f>
        <v>Payable Accountant</v>
      </c>
      <c r="F95" s="256" t="s">
        <v>576</v>
      </c>
      <c r="G95" s="258" t="s">
        <v>577</v>
      </c>
      <c r="H95" s="256" t="s">
        <v>73</v>
      </c>
      <c r="I95" s="243" t="str">
        <f t="shared" si="7"/>
        <v>Laptop Dell Latitude 3420</v>
      </c>
      <c r="J95" s="243" t="s">
        <v>48</v>
      </c>
      <c r="K95" s="243" t="s">
        <v>51</v>
      </c>
      <c r="L95" s="243" t="s">
        <v>106</v>
      </c>
      <c r="M95" s="243" t="s">
        <v>578</v>
      </c>
      <c r="N95" s="243">
        <v>16</v>
      </c>
      <c r="O95" s="243">
        <v>512</v>
      </c>
      <c r="P95" s="256" t="s">
        <v>47</v>
      </c>
      <c r="Q95" s="243" t="s">
        <v>63</v>
      </c>
      <c r="R95" s="287"/>
      <c r="S95" s="256"/>
      <c r="T95" s="256" t="s">
        <v>579</v>
      </c>
      <c r="U95" s="11"/>
      <c r="V95" s="19" t="s">
        <v>580</v>
      </c>
      <c r="W95" s="104"/>
      <c r="X95" s="11"/>
      <c r="Y95" s="11"/>
      <c r="Z95" s="11"/>
      <c r="AA95" s="11"/>
      <c r="AB95" s="11"/>
      <c r="AC95" s="11"/>
    </row>
    <row r="96" spans="1:46" ht="59.25" customHeight="1">
      <c r="A96" s="243" t="e">
        <f t="shared" ref="A96:A104" si="8">A95+1</f>
        <v>#REF!</v>
      </c>
      <c r="B96" s="214" t="s">
        <v>581</v>
      </c>
      <c r="C96" s="243" t="s">
        <v>44</v>
      </c>
      <c r="D96" s="256" t="str">
        <f>VLOOKUP(B96,VN_Emails!B:H,4,0)</f>
        <v>Thoi Huu Nghia</v>
      </c>
      <c r="E96" s="256" t="s">
        <v>582</v>
      </c>
      <c r="F96" s="256" t="s">
        <v>583</v>
      </c>
      <c r="G96" s="243" t="s">
        <v>584</v>
      </c>
      <c r="H96" s="256" t="s">
        <v>73</v>
      </c>
      <c r="I96" s="243" t="str">
        <f t="shared" si="7"/>
        <v>Laptop Dell Latitude 3420</v>
      </c>
      <c r="J96" s="243" t="s">
        <v>48</v>
      </c>
      <c r="K96" s="243" t="s">
        <v>51</v>
      </c>
      <c r="L96" s="243" t="s">
        <v>106</v>
      </c>
      <c r="M96" s="243" t="s">
        <v>585</v>
      </c>
      <c r="N96" s="243">
        <v>16</v>
      </c>
      <c r="O96" s="243">
        <v>512</v>
      </c>
      <c r="P96" s="256" t="s">
        <v>47</v>
      </c>
      <c r="Q96" s="243" t="s">
        <v>63</v>
      </c>
      <c r="R96" s="287"/>
      <c r="S96" s="256"/>
      <c r="T96" s="256" t="s">
        <v>579</v>
      </c>
      <c r="U96" s="11"/>
      <c r="V96" s="7" t="s">
        <v>586</v>
      </c>
      <c r="W96" s="104"/>
      <c r="X96" s="11"/>
      <c r="Y96" s="11"/>
      <c r="Z96" s="11"/>
      <c r="AA96" s="11"/>
      <c r="AB96" s="11"/>
      <c r="AC96" s="11"/>
    </row>
    <row r="97" spans="1:29" ht="64.5" customHeight="1">
      <c r="A97" s="243" t="e">
        <f t="shared" si="8"/>
        <v>#REF!</v>
      </c>
      <c r="B97" s="214" t="s">
        <v>587</v>
      </c>
      <c r="C97" s="243" t="s">
        <v>44</v>
      </c>
      <c r="D97" s="256" t="str">
        <f>VLOOKUP(B97,VN_Emails!B:H,4,0)</f>
        <v>Huynh Ngoc Son</v>
      </c>
      <c r="E97" s="256" t="s">
        <v>588</v>
      </c>
      <c r="F97" s="256" t="s">
        <v>589</v>
      </c>
      <c r="G97" s="243" t="s">
        <v>590</v>
      </c>
      <c r="H97" s="256" t="s">
        <v>73</v>
      </c>
      <c r="I97" s="243" t="str">
        <f t="shared" si="7"/>
        <v>Laptop Dell Latitude 3420</v>
      </c>
      <c r="J97" s="243" t="s">
        <v>48</v>
      </c>
      <c r="K97" s="243" t="s">
        <v>51</v>
      </c>
      <c r="L97" s="243" t="s">
        <v>106</v>
      </c>
      <c r="M97" s="243" t="s">
        <v>591</v>
      </c>
      <c r="N97" s="243">
        <v>16</v>
      </c>
      <c r="O97" s="243">
        <v>512</v>
      </c>
      <c r="P97" s="256" t="s">
        <v>47</v>
      </c>
      <c r="Q97" s="243" t="s">
        <v>63</v>
      </c>
      <c r="R97" s="285"/>
      <c r="S97" s="286"/>
      <c r="T97" s="286" t="s">
        <v>579</v>
      </c>
      <c r="U97" s="97"/>
      <c r="V97" s="68" t="s">
        <v>592</v>
      </c>
      <c r="W97" s="108"/>
      <c r="X97" s="97"/>
      <c r="Y97" s="97"/>
      <c r="Z97" s="97"/>
      <c r="AA97" s="97"/>
      <c r="AB97" s="97"/>
      <c r="AC97" s="97"/>
    </row>
    <row r="98" spans="1:29" ht="55.5" customHeight="1">
      <c r="A98" s="243" t="e">
        <f t="shared" si="8"/>
        <v>#REF!</v>
      </c>
      <c r="B98" s="214" t="s">
        <v>593</v>
      </c>
      <c r="C98" s="243" t="s">
        <v>44</v>
      </c>
      <c r="D98" s="256" t="str">
        <f>VLOOKUP(B98,VN_Emails!B:H,4,0)</f>
        <v>Pham My Tu</v>
      </c>
      <c r="E98" s="256" t="str">
        <f>VLOOKUP(B98,VN_Emails!B:H,7,0)</f>
        <v>Senior Merchandise</v>
      </c>
      <c r="F98" s="256" t="s">
        <v>594</v>
      </c>
      <c r="G98" s="243" t="s">
        <v>595</v>
      </c>
      <c r="H98" s="256" t="s">
        <v>73</v>
      </c>
      <c r="I98" s="243" t="str">
        <f t="shared" si="7"/>
        <v>Laptop Dell Latitude 3420</v>
      </c>
      <c r="J98" s="243" t="s">
        <v>48</v>
      </c>
      <c r="K98" s="243" t="s">
        <v>51</v>
      </c>
      <c r="L98" s="243" t="s">
        <v>106</v>
      </c>
      <c r="M98" s="243" t="s">
        <v>596</v>
      </c>
      <c r="N98" s="243">
        <v>16</v>
      </c>
      <c r="O98" s="243">
        <v>512</v>
      </c>
      <c r="P98" s="256" t="s">
        <v>47</v>
      </c>
      <c r="Q98" s="243" t="s">
        <v>63</v>
      </c>
      <c r="R98" s="285"/>
      <c r="S98" s="286"/>
      <c r="T98" s="286" t="s">
        <v>579</v>
      </c>
      <c r="U98" s="97"/>
      <c r="V98" s="68" t="s">
        <v>597</v>
      </c>
      <c r="W98" s="108"/>
      <c r="X98" s="97"/>
      <c r="Y98" s="97"/>
      <c r="Z98" s="97"/>
      <c r="AA98" s="97"/>
      <c r="AB98" s="11"/>
      <c r="AC98" s="11"/>
    </row>
    <row r="99" spans="1:29" ht="43.5" customHeight="1">
      <c r="A99" s="243" t="e">
        <f t="shared" si="8"/>
        <v>#REF!</v>
      </c>
      <c r="B99" s="214" t="s">
        <v>598</v>
      </c>
      <c r="C99" s="243" t="s">
        <v>44</v>
      </c>
      <c r="D99" s="256" t="str">
        <f>VLOOKUP(B99,VN_Emails!B:H,4,0)</f>
        <v>Nguyen Nam Thang</v>
      </c>
      <c r="E99" s="256" t="str">
        <f>VLOOKUP(B99,VN_Emails!B:H,7,0)</f>
        <v>Senior Wholesaler</v>
      </c>
      <c r="F99" s="256" t="s">
        <v>599</v>
      </c>
      <c r="G99" s="243"/>
      <c r="H99" s="256" t="s">
        <v>73</v>
      </c>
      <c r="I99" s="243" t="str">
        <f t="shared" si="7"/>
        <v>Laptop Dell Latitude 3420</v>
      </c>
      <c r="J99" s="243" t="s">
        <v>48</v>
      </c>
      <c r="K99" s="243" t="s">
        <v>51</v>
      </c>
      <c r="L99" s="243" t="s">
        <v>106</v>
      </c>
      <c r="M99" s="243" t="s">
        <v>600</v>
      </c>
      <c r="N99" s="243">
        <v>16</v>
      </c>
      <c r="O99" s="243">
        <v>512</v>
      </c>
      <c r="P99" s="256" t="s">
        <v>47</v>
      </c>
      <c r="Q99" s="243" t="s">
        <v>63</v>
      </c>
      <c r="R99" s="285"/>
      <c r="S99" s="286"/>
      <c r="T99" s="286" t="s">
        <v>579</v>
      </c>
      <c r="U99" s="97"/>
      <c r="V99" s="68"/>
      <c r="W99" s="108"/>
      <c r="X99" s="97"/>
      <c r="Y99" s="97"/>
      <c r="Z99" s="97"/>
      <c r="AA99" s="97"/>
      <c r="AB99" s="116"/>
      <c r="AC99" s="97"/>
    </row>
    <row r="100" spans="1:29" ht="48.75" customHeight="1">
      <c r="A100" s="243" t="e">
        <f t="shared" si="8"/>
        <v>#REF!</v>
      </c>
      <c r="B100" s="214" t="s">
        <v>601</v>
      </c>
      <c r="C100" s="243" t="s">
        <v>44</v>
      </c>
      <c r="D100" s="256" t="str">
        <f>VLOOKUP(B100,VN_Emails!B:H,4,0)</f>
        <v>Vo Thuy Minh Tuyen</v>
      </c>
      <c r="E100" s="256" t="str">
        <f>VLOOKUP(B100,VN_Emails!B:H,7,0)</f>
        <v>Senior Merchandise</v>
      </c>
      <c r="F100" s="256" t="s">
        <v>602</v>
      </c>
      <c r="G100" s="243"/>
      <c r="H100" s="256" t="s">
        <v>73</v>
      </c>
      <c r="I100" s="243" t="str">
        <f t="shared" si="7"/>
        <v>Laptop Dell Latitude 3420</v>
      </c>
      <c r="J100" s="243" t="s">
        <v>48</v>
      </c>
      <c r="K100" s="243" t="s">
        <v>51</v>
      </c>
      <c r="L100" s="243" t="s">
        <v>106</v>
      </c>
      <c r="M100" s="243" t="s">
        <v>603</v>
      </c>
      <c r="N100" s="243">
        <v>16</v>
      </c>
      <c r="O100" s="243">
        <v>512</v>
      </c>
      <c r="P100" s="256" t="s">
        <v>47</v>
      </c>
      <c r="Q100" s="243" t="s">
        <v>63</v>
      </c>
      <c r="R100" s="287"/>
      <c r="S100" s="256"/>
      <c r="T100" s="286" t="s">
        <v>579</v>
      </c>
      <c r="U100" s="97"/>
      <c r="V100" s="19" t="s">
        <v>604</v>
      </c>
      <c r="W100" s="104"/>
      <c r="X100" s="11"/>
      <c r="Y100" s="11"/>
      <c r="Z100" s="11"/>
      <c r="AA100" s="11"/>
      <c r="AB100" s="11"/>
      <c r="AC100" s="11"/>
    </row>
    <row r="101" spans="1:29" ht="57.75" customHeight="1">
      <c r="A101" s="270" t="e">
        <f t="shared" si="8"/>
        <v>#REF!</v>
      </c>
      <c r="B101" s="288" t="s">
        <v>605</v>
      </c>
      <c r="C101" s="270" t="s">
        <v>44</v>
      </c>
      <c r="D101" s="256" t="str">
        <f>VLOOKUP(B101,VN_Emails!B:H,4,0)</f>
        <v>Nguyen Duyen Ngoc</v>
      </c>
      <c r="E101" s="256" t="str">
        <f>VLOOKUP(B101,VN_Emails!B:H,7,0)</f>
        <v xml:space="preserve">Business Development Manager </v>
      </c>
      <c r="F101" s="289" t="s">
        <v>606</v>
      </c>
      <c r="G101" s="270"/>
      <c r="H101" s="289" t="s">
        <v>73</v>
      </c>
      <c r="I101" s="270" t="str">
        <f t="shared" si="7"/>
        <v>Laptop Dell Latitude 5420</v>
      </c>
      <c r="J101" s="270" t="s">
        <v>48</v>
      </c>
      <c r="K101" s="270" t="s">
        <v>51</v>
      </c>
      <c r="L101" s="290" t="s">
        <v>87</v>
      </c>
      <c r="M101" s="270" t="s">
        <v>607</v>
      </c>
      <c r="N101" s="291">
        <v>16</v>
      </c>
      <c r="O101" s="270">
        <v>512</v>
      </c>
      <c r="P101" s="289" t="s">
        <v>47</v>
      </c>
      <c r="Q101" s="270" t="s">
        <v>608</v>
      </c>
      <c r="R101" s="256"/>
      <c r="S101" s="256"/>
      <c r="T101" s="256" t="s">
        <v>609</v>
      </c>
      <c r="U101" s="11"/>
      <c r="V101" s="19"/>
      <c r="W101" s="104"/>
      <c r="X101" s="11"/>
      <c r="Y101" s="11"/>
      <c r="Z101" s="11"/>
      <c r="AA101" s="11"/>
      <c r="AB101" s="11"/>
      <c r="AC101" s="11"/>
    </row>
    <row r="102" spans="1:29" ht="57.75" customHeight="1">
      <c r="A102" s="243" t="e">
        <f t="shared" si="8"/>
        <v>#REF!</v>
      </c>
      <c r="B102" s="214" t="s">
        <v>610</v>
      </c>
      <c r="C102" s="243" t="s">
        <v>44</v>
      </c>
      <c r="D102" s="256" t="s">
        <v>509</v>
      </c>
      <c r="E102" s="256" t="s">
        <v>611</v>
      </c>
      <c r="F102" s="257" t="s">
        <v>612</v>
      </c>
      <c r="G102" s="243" t="s">
        <v>512</v>
      </c>
      <c r="H102" s="256" t="s">
        <v>73</v>
      </c>
      <c r="I102" s="243" t="str">
        <f>J102&amp;" "&amp;K102&amp;" "&amp;L102</f>
        <v>Laptop HP Elite x360 1040</v>
      </c>
      <c r="J102" s="243" t="s">
        <v>48</v>
      </c>
      <c r="K102" s="243" t="s">
        <v>41</v>
      </c>
      <c r="L102" s="280" t="s">
        <v>613</v>
      </c>
      <c r="M102" s="292" t="s">
        <v>614</v>
      </c>
      <c r="N102" s="278">
        <v>16</v>
      </c>
      <c r="O102" s="243" t="s">
        <v>615</v>
      </c>
      <c r="P102" s="256" t="s">
        <v>47</v>
      </c>
      <c r="Q102" s="243" t="s">
        <v>616</v>
      </c>
      <c r="R102" s="256"/>
      <c r="S102" s="256"/>
      <c r="T102" s="256" t="s">
        <v>617</v>
      </c>
      <c r="U102" s="11"/>
      <c r="V102" s="19"/>
      <c r="W102" s="104"/>
      <c r="X102" s="11"/>
      <c r="Y102" s="11"/>
      <c r="Z102" s="11"/>
      <c r="AA102" s="11"/>
      <c r="AB102" s="11"/>
      <c r="AC102" s="11"/>
    </row>
    <row r="103" spans="1:29" ht="57.75" customHeight="1">
      <c r="A103" s="243" t="e">
        <f t="shared" si="8"/>
        <v>#REF!</v>
      </c>
      <c r="B103" s="214" t="s">
        <v>618</v>
      </c>
      <c r="C103" s="243" t="s">
        <v>44</v>
      </c>
      <c r="D103" s="256" t="str">
        <f>VLOOKUP(B103,VN_Emails!B:H,4,0)</f>
        <v>Syed Umair Hassan</v>
      </c>
      <c r="E103" s="256" t="str">
        <f>VLOOKUP(B103,VN_Emails!B:H,7,0)</f>
        <v>GM Merchandise</v>
      </c>
      <c r="F103" s="256" t="s">
        <v>619</v>
      </c>
      <c r="G103" s="243"/>
      <c r="H103" s="256" t="s">
        <v>73</v>
      </c>
      <c r="I103" s="243" t="str">
        <f>J103&amp;" "&amp;K103&amp;" "&amp;L103</f>
        <v>Laptop HP Elite x360 1040</v>
      </c>
      <c r="J103" s="243" t="s">
        <v>48</v>
      </c>
      <c r="K103" s="243" t="s">
        <v>41</v>
      </c>
      <c r="L103" s="280" t="s">
        <v>613</v>
      </c>
      <c r="M103" s="243" t="s">
        <v>620</v>
      </c>
      <c r="N103" s="278">
        <v>16</v>
      </c>
      <c r="O103" s="243" t="s">
        <v>615</v>
      </c>
      <c r="P103" s="256" t="s">
        <v>47</v>
      </c>
      <c r="Q103" s="243" t="s">
        <v>616</v>
      </c>
      <c r="R103" s="256"/>
      <c r="S103" s="256"/>
      <c r="T103" s="256" t="s">
        <v>621</v>
      </c>
      <c r="U103" s="11"/>
      <c r="V103" s="19"/>
      <c r="W103" s="104"/>
      <c r="X103" s="11"/>
      <c r="Y103" s="11"/>
      <c r="Z103" s="11"/>
      <c r="AA103" s="11"/>
      <c r="AB103" s="11"/>
      <c r="AC103" s="11"/>
    </row>
    <row r="104" spans="1:29" ht="57.75" customHeight="1">
      <c r="A104" s="214" t="e">
        <f t="shared" si="8"/>
        <v>#REF!</v>
      </c>
      <c r="B104" s="214" t="s">
        <v>622</v>
      </c>
      <c r="C104" s="214" t="s">
        <v>39</v>
      </c>
      <c r="D104" s="293" t="s">
        <v>53</v>
      </c>
      <c r="E104" s="293" t="s">
        <v>53</v>
      </c>
      <c r="F104" s="256" t="s">
        <v>623</v>
      </c>
      <c r="G104" s="243"/>
      <c r="H104" s="256" t="s">
        <v>73</v>
      </c>
      <c r="I104" s="214" t="str">
        <f t="shared" si="7"/>
        <v>Laptop HP 14s-cf2xxx</v>
      </c>
      <c r="J104" s="214" t="s">
        <v>48</v>
      </c>
      <c r="K104" s="294" t="s">
        <v>41</v>
      </c>
      <c r="L104" s="243" t="s">
        <v>624</v>
      </c>
      <c r="M104" s="295" t="s">
        <v>625</v>
      </c>
      <c r="N104" s="296">
        <v>8</v>
      </c>
      <c r="O104" s="296">
        <v>250</v>
      </c>
      <c r="P104" s="256" t="s">
        <v>47</v>
      </c>
      <c r="Q104" s="297" t="s">
        <v>626</v>
      </c>
      <c r="R104" s="243"/>
      <c r="S104" s="243"/>
      <c r="T104" s="298"/>
      <c r="U104" s="119"/>
      <c r="V104" s="120" t="s">
        <v>627</v>
      </c>
      <c r="W104" s="118"/>
      <c r="X104" s="121"/>
      <c r="Y104" s="122"/>
      <c r="Z104" s="123"/>
      <c r="AA104" s="124"/>
      <c r="AB104" s="123"/>
      <c r="AC104" s="117"/>
    </row>
    <row r="111" spans="1:29" ht="15" customHeight="1">
      <c r="A111" s="9">
        <v>0</v>
      </c>
      <c r="Q111" s="10" t="s">
        <v>564</v>
      </c>
    </row>
  </sheetData>
  <autoFilter ref="A1:AC104" xr:uid="{3157A9BD-157D-4407-B1A5-F80A7D4EF36E}">
    <filterColumn colId="9">
      <filters>
        <filter val="Laptop"/>
      </filters>
    </filterColumn>
  </autoFilter>
  <phoneticPr fontId="2" type="noConversion"/>
  <dataValidations count="2">
    <dataValidation type="list" allowBlank="1" showInputMessage="1" showErrorMessage="1" sqref="J101:J104 J2:J94" xr:uid="{DBC5F00F-2893-4718-8685-F2A1B1F74B36}">
      <formula1>"Laptop,Desktop,Printer"</formula1>
    </dataValidation>
    <dataValidation type="list" allowBlank="1" showInputMessage="1" showErrorMessage="1" sqref="C2:C104" xr:uid="{67A77029-17E7-4232-935E-871CD04C36F9}">
      <formula1>"In Use,Available,Reserved,Maintenance,Retired,Disposed,Lost,On Loan,Spare"</formula1>
    </dataValidation>
  </dataValidations>
  <hyperlinks>
    <hyperlink ref="V91" r:id="rId1" xr:uid="{06006736-5DD2-414A-BECB-E6B4E6F4E7B5}"/>
    <hyperlink ref="G38" r:id="rId2" display="=SUBSTITUTE(VLOOKUP(B41,VN_Emails!B:H,2,0),&quot;@mapactive.vn&quot;,&quot;&quot;)" xr:uid="{71F81022-0117-4392-986E-01456974B1E3}"/>
  </hyperlinks>
  <printOptions horizontalCentered="1"/>
  <pageMargins left="0.7" right="0.7" top="0.75" bottom="0.75" header="0.3" footer="0.3"/>
  <pageSetup paperSize="9"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0339-8378-483A-A913-70D61CEBF82A}">
  <dimension ref="B1:F15"/>
  <sheetViews>
    <sheetView workbookViewId="0">
      <selection activeCell="D16" sqref="D16"/>
    </sheetView>
  </sheetViews>
  <sheetFormatPr defaultRowHeight="14.4"/>
  <cols>
    <col min="1" max="1" width="3.6640625" customWidth="1"/>
    <col min="2" max="2" width="34.44140625" customWidth="1"/>
    <col min="3" max="3" width="22.77734375" customWidth="1"/>
    <col min="4" max="4" width="31.109375" customWidth="1"/>
    <col min="5" max="5" width="23.88671875" customWidth="1"/>
    <col min="7" max="7" width="2.77734375" customWidth="1"/>
    <col min="8" max="8" width="29.77734375" customWidth="1"/>
    <col min="9" max="9" width="17.21875" customWidth="1"/>
    <col min="10" max="10" width="22.109375" customWidth="1"/>
    <col min="11" max="11" width="15.109375" customWidth="1"/>
  </cols>
  <sheetData>
    <row r="1" spans="2:6">
      <c r="B1" s="253" t="s">
        <v>628</v>
      </c>
      <c r="C1" s="253" t="s">
        <v>629</v>
      </c>
      <c r="D1" s="253" t="s">
        <v>630</v>
      </c>
      <c r="E1" s="253" t="s">
        <v>631</v>
      </c>
      <c r="F1" s="254" t="s">
        <v>35</v>
      </c>
    </row>
    <row r="2" spans="2:6">
      <c r="B2" s="4">
        <v>1</v>
      </c>
      <c r="C2" s="2" t="s">
        <v>632</v>
      </c>
      <c r="D2" s="251" t="s">
        <v>633</v>
      </c>
      <c r="E2" s="4" t="s">
        <v>634</v>
      </c>
      <c r="F2" s="2"/>
    </row>
    <row r="3" spans="2:6">
      <c r="B3" s="4">
        <v>2</v>
      </c>
      <c r="C3" s="2" t="s">
        <v>635</v>
      </c>
      <c r="D3" s="251" t="s">
        <v>636</v>
      </c>
      <c r="E3" s="4" t="s">
        <v>637</v>
      </c>
      <c r="F3" s="2"/>
    </row>
    <row r="4" spans="2:6">
      <c r="B4" s="4">
        <v>3</v>
      </c>
      <c r="C4" s="2" t="s">
        <v>638</v>
      </c>
      <c r="D4" s="251" t="s">
        <v>639</v>
      </c>
      <c r="E4" s="4" t="s">
        <v>640</v>
      </c>
      <c r="F4" s="2"/>
    </row>
    <row r="5" spans="2:6">
      <c r="B5" s="4">
        <v>4</v>
      </c>
      <c r="C5" s="2" t="s">
        <v>641</v>
      </c>
      <c r="D5" s="251" t="s">
        <v>642</v>
      </c>
      <c r="E5" s="3" t="s">
        <v>643</v>
      </c>
      <c r="F5" s="2"/>
    </row>
    <row r="6" spans="2:6">
      <c r="B6" s="4">
        <v>5</v>
      </c>
      <c r="C6" s="2" t="s">
        <v>644</v>
      </c>
      <c r="D6" s="251" t="s">
        <v>645</v>
      </c>
      <c r="E6" s="3" t="s">
        <v>646</v>
      </c>
      <c r="F6" s="2"/>
    </row>
    <row r="7" spans="2:6">
      <c r="B7" s="4">
        <v>6</v>
      </c>
      <c r="C7" s="2" t="s">
        <v>647</v>
      </c>
      <c r="D7" s="251" t="s">
        <v>648</v>
      </c>
      <c r="E7" s="3" t="s">
        <v>649</v>
      </c>
      <c r="F7" s="250"/>
    </row>
    <row r="8" spans="2:6">
      <c r="B8" s="4">
        <v>7</v>
      </c>
      <c r="C8" s="2" t="s">
        <v>650</v>
      </c>
      <c r="D8" s="251" t="s">
        <v>651</v>
      </c>
      <c r="E8" s="3" t="s">
        <v>652</v>
      </c>
      <c r="F8" s="80"/>
    </row>
    <row r="9" spans="2:6">
      <c r="B9" s="5"/>
      <c r="C9" s="5"/>
      <c r="D9" s="5"/>
      <c r="E9" s="252"/>
      <c r="F9" s="249"/>
    </row>
    <row r="10" spans="2:6">
      <c r="B10" s="5"/>
      <c r="C10" s="5"/>
      <c r="D10" s="5"/>
      <c r="E10" s="252"/>
      <c r="F10" s="249"/>
    </row>
    <row r="11" spans="2:6">
      <c r="B11" s="5"/>
      <c r="C11" s="5"/>
      <c r="D11" s="5"/>
      <c r="E11" s="252"/>
      <c r="F11" s="249"/>
    </row>
    <row r="12" spans="2:6">
      <c r="B12" s="5"/>
      <c r="C12" s="5"/>
      <c r="D12" s="5"/>
      <c r="E12" s="252"/>
      <c r="F12" s="249"/>
    </row>
    <row r="13" spans="2:6">
      <c r="B13" s="5"/>
      <c r="C13" s="5"/>
      <c r="D13" s="5"/>
      <c r="E13" s="252"/>
      <c r="F13" s="249"/>
    </row>
    <row r="14" spans="2:6">
      <c r="B14" s="5"/>
      <c r="C14" s="5"/>
      <c r="D14" s="5"/>
      <c r="E14" s="252"/>
      <c r="F14" s="249"/>
    </row>
    <row r="15" spans="2:6">
      <c r="B15" s="5"/>
      <c r="C15" s="5"/>
      <c r="D15" s="5"/>
      <c r="E15" s="252"/>
      <c r="F15" s="2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87BF-B87F-41CC-BCCC-345662E9C89C}">
  <dimension ref="A1:AK112"/>
  <sheetViews>
    <sheetView zoomScale="70" zoomScaleNormal="70" workbookViewId="0">
      <pane xSplit="4" ySplit="1" topLeftCell="E2" activePane="bottomRight" state="frozen"/>
      <selection pane="topRight"/>
      <selection pane="bottomLeft"/>
      <selection pane="bottomRight" activeCell="B14" sqref="B14"/>
    </sheetView>
  </sheetViews>
  <sheetFormatPr defaultColWidth="9.77734375" defaultRowHeight="15.75" customHeight="1"/>
  <cols>
    <col min="1" max="1" width="6.77734375" style="202" bestFit="1" customWidth="1"/>
    <col min="2" max="2" width="20.6640625" style="202" customWidth="1"/>
    <col min="3" max="3" width="38.21875" style="203" bestFit="1" customWidth="1"/>
    <col min="4" max="4" width="33" style="203" customWidth="1"/>
    <col min="5" max="5" width="26.21875" style="203" bestFit="1" customWidth="1"/>
    <col min="6" max="6" width="9.44140625" style="203" customWidth="1"/>
    <col min="7" max="7" width="51.6640625" style="203" bestFit="1" customWidth="1"/>
    <col min="8" max="8" width="46" style="204" customWidth="1"/>
    <col min="9" max="9" width="10.109375" style="202" customWidth="1"/>
    <col min="10" max="10" width="9.44140625" style="205" customWidth="1"/>
    <col min="11" max="11" width="12" style="205" customWidth="1"/>
    <col min="12" max="12" width="23.33203125" style="206" customWidth="1"/>
    <col min="13" max="13" width="15.33203125" style="205" bestFit="1" customWidth="1"/>
    <col min="14" max="14" width="19.109375" style="205" bestFit="1" customWidth="1"/>
    <col min="15" max="15" width="14.77734375" style="202" bestFit="1" customWidth="1"/>
    <col min="16" max="16" width="15.109375" style="202" bestFit="1" customWidth="1"/>
    <col min="17" max="17" width="15.88671875" style="202" bestFit="1" customWidth="1"/>
    <col min="18" max="18" width="106.44140625" style="207" bestFit="1" customWidth="1"/>
    <col min="19" max="19" width="32" style="203" bestFit="1" customWidth="1"/>
    <col min="20" max="16384" width="9.77734375" style="203"/>
  </cols>
  <sheetData>
    <row r="1" spans="1:37" s="202" customFormat="1" ht="33" customHeight="1">
      <c r="A1" s="208" t="s">
        <v>0</v>
      </c>
      <c r="B1" s="208" t="s">
        <v>665</v>
      </c>
      <c r="C1" s="208" t="s">
        <v>629</v>
      </c>
      <c r="D1" s="208" t="s">
        <v>630</v>
      </c>
      <c r="E1" s="208" t="s">
        <v>631</v>
      </c>
      <c r="F1" s="209" t="s">
        <v>666</v>
      </c>
      <c r="G1" s="208" t="s">
        <v>657</v>
      </c>
      <c r="H1" s="209" t="s">
        <v>667</v>
      </c>
      <c r="I1" s="209" t="s">
        <v>668</v>
      </c>
      <c r="J1" s="209" t="s">
        <v>656</v>
      </c>
      <c r="K1" s="209" t="s">
        <v>669</v>
      </c>
      <c r="L1" s="210" t="s">
        <v>670</v>
      </c>
      <c r="M1" s="211" t="s">
        <v>671</v>
      </c>
      <c r="N1" s="211" t="s">
        <v>672</v>
      </c>
      <c r="O1" s="211" t="s">
        <v>673</v>
      </c>
      <c r="P1" s="211" t="s">
        <v>674</v>
      </c>
      <c r="Q1" s="211" t="s">
        <v>675</v>
      </c>
      <c r="R1" s="212" t="s">
        <v>3</v>
      </c>
      <c r="S1" s="208" t="s">
        <v>676</v>
      </c>
      <c r="T1" s="27"/>
      <c r="U1" s="27"/>
      <c r="V1" s="27"/>
      <c r="W1" s="27"/>
      <c r="X1" s="27"/>
      <c r="Y1" s="27"/>
      <c r="Z1" s="27"/>
      <c r="AA1" s="27"/>
      <c r="AB1" s="27"/>
      <c r="AC1" s="27"/>
      <c r="AD1" s="27"/>
      <c r="AE1" s="27"/>
      <c r="AF1" s="27"/>
      <c r="AG1" s="27"/>
      <c r="AH1" s="27"/>
      <c r="AI1" s="27"/>
      <c r="AJ1" s="27"/>
      <c r="AK1" s="27"/>
    </row>
    <row r="2" spans="1:37" ht="15.6">
      <c r="A2" s="213">
        <v>1</v>
      </c>
      <c r="B2" s="214" t="s">
        <v>508</v>
      </c>
      <c r="C2" s="215" t="s">
        <v>677</v>
      </c>
      <c r="D2" s="216" t="s">
        <v>678</v>
      </c>
      <c r="E2" s="216" t="s">
        <v>509</v>
      </c>
      <c r="F2" s="216" t="s">
        <v>679</v>
      </c>
      <c r="G2" s="216" t="s">
        <v>680</v>
      </c>
      <c r="H2" s="217" t="s">
        <v>681</v>
      </c>
      <c r="I2" s="213" t="s">
        <v>682</v>
      </c>
      <c r="J2" s="218" t="s">
        <v>683</v>
      </c>
      <c r="K2" s="218" t="s">
        <v>73</v>
      </c>
      <c r="L2" s="219"/>
      <c r="M2" s="218"/>
      <c r="N2" s="218"/>
      <c r="O2" s="213"/>
      <c r="P2" s="213"/>
      <c r="Q2" s="213"/>
      <c r="R2" s="220"/>
      <c r="S2" s="217" t="s">
        <v>684</v>
      </c>
      <c r="T2" s="31"/>
      <c r="U2" s="31"/>
      <c r="V2" s="31"/>
      <c r="W2" s="31"/>
      <c r="X2" s="31"/>
      <c r="Y2" s="31"/>
      <c r="Z2" s="31"/>
      <c r="AA2" s="31"/>
      <c r="AB2" s="31"/>
      <c r="AC2" s="31"/>
      <c r="AD2" s="31"/>
      <c r="AE2" s="31"/>
      <c r="AF2" s="31"/>
      <c r="AG2" s="31"/>
      <c r="AH2" s="31"/>
      <c r="AI2" s="31"/>
      <c r="AJ2" s="31"/>
      <c r="AK2" s="31"/>
    </row>
    <row r="3" spans="1:37" ht="15.6">
      <c r="A3" s="213">
        <v>2</v>
      </c>
      <c r="B3" s="214" t="s">
        <v>71</v>
      </c>
      <c r="C3" s="215" t="s">
        <v>685</v>
      </c>
      <c r="D3" s="216" t="s">
        <v>686</v>
      </c>
      <c r="E3" s="216" t="s">
        <v>687</v>
      </c>
      <c r="F3" s="216"/>
      <c r="G3" s="216"/>
      <c r="H3" s="217" t="s">
        <v>688</v>
      </c>
      <c r="I3" s="213" t="s">
        <v>682</v>
      </c>
      <c r="J3" s="218" t="s">
        <v>683</v>
      </c>
      <c r="K3" s="218" t="s">
        <v>73</v>
      </c>
      <c r="L3" s="219"/>
      <c r="M3" s="218"/>
      <c r="N3" s="218"/>
      <c r="O3" s="213"/>
      <c r="P3" s="213"/>
      <c r="Q3" s="213"/>
      <c r="R3" s="220"/>
      <c r="S3" s="221" t="s">
        <v>689</v>
      </c>
      <c r="T3" s="31"/>
      <c r="U3" s="31"/>
      <c r="V3" s="31"/>
      <c r="W3" s="31"/>
      <c r="X3" s="31"/>
      <c r="Y3" s="31"/>
      <c r="Z3" s="31"/>
      <c r="AA3" s="31"/>
      <c r="AB3" s="31"/>
      <c r="AC3" s="31"/>
      <c r="AD3" s="31"/>
      <c r="AE3" s="31"/>
      <c r="AF3" s="31"/>
      <c r="AG3" s="31"/>
      <c r="AH3" s="31"/>
      <c r="AI3" s="31"/>
      <c r="AJ3" s="31"/>
      <c r="AK3" s="31"/>
    </row>
    <row r="4" spans="1:37" ht="15.6">
      <c r="A4" s="213">
        <v>3</v>
      </c>
      <c r="B4" s="214" t="s">
        <v>246</v>
      </c>
      <c r="C4" s="215" t="s">
        <v>690</v>
      </c>
      <c r="D4" s="216" t="s">
        <v>691</v>
      </c>
      <c r="E4" s="216" t="s">
        <v>692</v>
      </c>
      <c r="F4" s="216" t="s">
        <v>693</v>
      </c>
      <c r="G4" s="216"/>
      <c r="H4" s="217" t="s">
        <v>694</v>
      </c>
      <c r="I4" s="213" t="s">
        <v>682</v>
      </c>
      <c r="J4" s="218" t="s">
        <v>683</v>
      </c>
      <c r="K4" s="218" t="s">
        <v>73</v>
      </c>
      <c r="L4" s="219"/>
      <c r="M4" s="218"/>
      <c r="N4" s="218"/>
      <c r="O4" s="213"/>
      <c r="P4" s="213"/>
      <c r="Q4" s="213"/>
      <c r="R4" s="220"/>
      <c r="S4" s="221" t="s">
        <v>689</v>
      </c>
      <c r="T4" s="31"/>
      <c r="U4" s="31"/>
      <c r="V4" s="31"/>
      <c r="W4" s="31"/>
      <c r="X4" s="31"/>
      <c r="Y4" s="31"/>
      <c r="Z4" s="31"/>
      <c r="AA4" s="31"/>
      <c r="AB4" s="31"/>
      <c r="AC4" s="31"/>
      <c r="AD4" s="31"/>
      <c r="AE4" s="31"/>
      <c r="AF4" s="31"/>
      <c r="AG4" s="31"/>
      <c r="AH4" s="31"/>
      <c r="AI4" s="31"/>
      <c r="AJ4" s="31"/>
      <c r="AK4" s="31"/>
    </row>
    <row r="5" spans="1:37" ht="15.6">
      <c r="A5" s="213">
        <v>4</v>
      </c>
      <c r="B5" s="214" t="s">
        <v>568</v>
      </c>
      <c r="C5" s="215" t="s">
        <v>695</v>
      </c>
      <c r="D5" s="216" t="s">
        <v>696</v>
      </c>
      <c r="E5" s="216" t="s">
        <v>697</v>
      </c>
      <c r="F5" s="216" t="s">
        <v>698</v>
      </c>
      <c r="G5" s="216"/>
      <c r="H5" s="217" t="s">
        <v>699</v>
      </c>
      <c r="I5" s="213" t="s">
        <v>682</v>
      </c>
      <c r="J5" s="218" t="s">
        <v>683</v>
      </c>
      <c r="K5" s="218" t="s">
        <v>73</v>
      </c>
      <c r="L5" s="219"/>
      <c r="M5" s="218"/>
      <c r="N5" s="218"/>
      <c r="O5" s="213"/>
      <c r="P5" s="213"/>
      <c r="Q5" s="213"/>
      <c r="R5" s="220"/>
      <c r="S5" s="221" t="s">
        <v>700</v>
      </c>
      <c r="T5" s="31"/>
      <c r="U5" s="31"/>
      <c r="V5" s="31"/>
      <c r="W5" s="31"/>
      <c r="X5" s="31"/>
      <c r="Y5" s="31"/>
      <c r="Z5" s="31"/>
      <c r="AA5" s="31"/>
      <c r="AB5" s="31"/>
      <c r="AC5" s="31"/>
      <c r="AD5" s="31"/>
      <c r="AE5" s="31"/>
      <c r="AF5" s="31"/>
      <c r="AG5" s="31"/>
      <c r="AH5" s="31"/>
      <c r="AI5" s="31"/>
      <c r="AJ5" s="31"/>
      <c r="AK5" s="31"/>
    </row>
    <row r="6" spans="1:37" ht="15.6">
      <c r="A6" s="213">
        <v>5</v>
      </c>
      <c r="B6" s="214" t="s">
        <v>165</v>
      </c>
      <c r="C6" s="215" t="s">
        <v>701</v>
      </c>
      <c r="D6" s="216" t="s">
        <v>702</v>
      </c>
      <c r="E6" s="216" t="s">
        <v>166</v>
      </c>
      <c r="F6" s="216"/>
      <c r="G6" s="216"/>
      <c r="H6" s="217" t="s">
        <v>703</v>
      </c>
      <c r="I6" s="213" t="s">
        <v>682</v>
      </c>
      <c r="J6" s="218" t="s">
        <v>683</v>
      </c>
      <c r="K6" s="218" t="s">
        <v>73</v>
      </c>
      <c r="L6" s="219"/>
      <c r="M6" s="218"/>
      <c r="N6" s="218"/>
      <c r="O6" s="213"/>
      <c r="P6" s="213"/>
      <c r="Q6" s="213"/>
      <c r="R6" s="220"/>
      <c r="S6" s="221" t="s">
        <v>700</v>
      </c>
      <c r="T6" s="31"/>
      <c r="U6" s="31"/>
      <c r="V6" s="31"/>
      <c r="W6" s="31"/>
      <c r="X6" s="31"/>
      <c r="Y6" s="31"/>
      <c r="Z6" s="31"/>
      <c r="AA6" s="31"/>
      <c r="AB6" s="31"/>
      <c r="AC6" s="31"/>
      <c r="AD6" s="31"/>
      <c r="AE6" s="31"/>
      <c r="AF6" s="31"/>
      <c r="AG6" s="31"/>
      <c r="AH6" s="31"/>
      <c r="AI6" s="31"/>
      <c r="AJ6" s="31"/>
      <c r="AK6" s="31"/>
    </row>
    <row r="7" spans="1:37" ht="15.6">
      <c r="A7" s="213">
        <v>6</v>
      </c>
      <c r="B7" s="214" t="s">
        <v>581</v>
      </c>
      <c r="C7" s="215" t="s">
        <v>704</v>
      </c>
      <c r="D7" s="216" t="s">
        <v>705</v>
      </c>
      <c r="E7" s="216" t="s">
        <v>706</v>
      </c>
      <c r="F7" s="216"/>
      <c r="G7" s="216"/>
      <c r="H7" s="217" t="s">
        <v>707</v>
      </c>
      <c r="I7" s="213" t="s">
        <v>682</v>
      </c>
      <c r="J7" s="218" t="s">
        <v>683</v>
      </c>
      <c r="K7" s="218" t="s">
        <v>73</v>
      </c>
      <c r="L7" s="219"/>
      <c r="M7" s="218"/>
      <c r="N7" s="218"/>
      <c r="O7" s="213"/>
      <c r="P7" s="213"/>
      <c r="Q7" s="213"/>
      <c r="R7" s="220"/>
      <c r="S7" s="221" t="s">
        <v>689</v>
      </c>
      <c r="T7" s="31"/>
      <c r="U7" s="31"/>
      <c r="V7" s="31"/>
      <c r="W7" s="31"/>
      <c r="X7" s="31"/>
      <c r="Y7" s="31"/>
      <c r="Z7" s="31"/>
      <c r="AA7" s="31"/>
      <c r="AB7" s="31"/>
      <c r="AC7" s="31"/>
      <c r="AD7" s="31"/>
      <c r="AE7" s="31"/>
      <c r="AF7" s="31"/>
      <c r="AG7" s="31"/>
      <c r="AH7" s="31"/>
      <c r="AI7" s="31"/>
      <c r="AJ7" s="31"/>
      <c r="AK7" s="31"/>
    </row>
    <row r="8" spans="1:37" ht="15.6">
      <c r="A8" s="213">
        <v>7</v>
      </c>
      <c r="B8" s="214" t="s">
        <v>601</v>
      </c>
      <c r="C8" s="215" t="s">
        <v>708</v>
      </c>
      <c r="D8" s="216" t="s">
        <v>709</v>
      </c>
      <c r="E8" s="216" t="s">
        <v>710</v>
      </c>
      <c r="F8" s="216"/>
      <c r="G8" s="216"/>
      <c r="H8" s="217" t="s">
        <v>711</v>
      </c>
      <c r="I8" s="213" t="s">
        <v>682</v>
      </c>
      <c r="J8" s="218" t="s">
        <v>683</v>
      </c>
      <c r="K8" s="218" t="s">
        <v>73</v>
      </c>
      <c r="L8" s="219"/>
      <c r="M8" s="218"/>
      <c r="N8" s="218"/>
      <c r="O8" s="213"/>
      <c r="P8" s="213"/>
      <c r="Q8" s="213"/>
      <c r="R8" s="220"/>
      <c r="S8" s="221" t="s">
        <v>712</v>
      </c>
      <c r="T8" s="31"/>
      <c r="U8" s="31"/>
      <c r="V8" s="31"/>
      <c r="W8" s="31"/>
      <c r="X8" s="31"/>
      <c r="Y8" s="31"/>
      <c r="Z8" s="31"/>
      <c r="AA8" s="31"/>
      <c r="AB8" s="31"/>
      <c r="AC8" s="31"/>
      <c r="AD8" s="31"/>
      <c r="AE8" s="31"/>
      <c r="AF8" s="31"/>
      <c r="AG8" s="31"/>
      <c r="AH8" s="31"/>
      <c r="AI8" s="31"/>
      <c r="AJ8" s="31"/>
      <c r="AK8" s="31"/>
    </row>
    <row r="9" spans="1:37" ht="15.6">
      <c r="A9" s="213">
        <v>8</v>
      </c>
      <c r="B9" s="214" t="s">
        <v>593</v>
      </c>
      <c r="C9" s="215" t="s">
        <v>713</v>
      </c>
      <c r="D9" s="216" t="s">
        <v>714</v>
      </c>
      <c r="E9" s="216" t="s">
        <v>715</v>
      </c>
      <c r="F9" s="216"/>
      <c r="G9" s="216"/>
      <c r="H9" s="217" t="s">
        <v>711</v>
      </c>
      <c r="I9" s="213" t="s">
        <v>682</v>
      </c>
      <c r="J9" s="218" t="s">
        <v>683</v>
      </c>
      <c r="K9" s="218" t="s">
        <v>73</v>
      </c>
      <c r="L9" s="219"/>
      <c r="M9" s="218"/>
      <c r="N9" s="218"/>
      <c r="O9" s="213"/>
      <c r="P9" s="213"/>
      <c r="Q9" s="213"/>
      <c r="R9" s="220"/>
      <c r="S9" s="221" t="s">
        <v>712</v>
      </c>
      <c r="T9" s="31"/>
      <c r="U9" s="31"/>
      <c r="V9" s="31"/>
      <c r="W9" s="31"/>
      <c r="X9" s="31"/>
      <c r="Y9" s="31"/>
      <c r="Z9" s="31"/>
      <c r="AA9" s="31"/>
      <c r="AB9" s="31"/>
      <c r="AC9" s="31"/>
      <c r="AD9" s="31"/>
      <c r="AE9" s="31"/>
      <c r="AF9" s="31"/>
      <c r="AG9" s="31"/>
      <c r="AH9" s="31"/>
      <c r="AI9" s="31"/>
      <c r="AJ9" s="31"/>
      <c r="AK9" s="31"/>
    </row>
    <row r="10" spans="1:37" ht="15.6">
      <c r="A10" s="213">
        <v>9</v>
      </c>
      <c r="B10" s="214" t="s">
        <v>260</v>
      </c>
      <c r="C10" s="215" t="s">
        <v>716</v>
      </c>
      <c r="D10" s="216" t="s">
        <v>717</v>
      </c>
      <c r="E10" s="216" t="s">
        <v>718</v>
      </c>
      <c r="F10" s="216"/>
      <c r="G10" s="216"/>
      <c r="H10" s="217" t="s">
        <v>719</v>
      </c>
      <c r="I10" s="213" t="s">
        <v>682</v>
      </c>
      <c r="J10" s="218" t="s">
        <v>683</v>
      </c>
      <c r="K10" s="218" t="s">
        <v>73</v>
      </c>
      <c r="L10" s="219"/>
      <c r="M10" s="218"/>
      <c r="N10" s="218"/>
      <c r="O10" s="213"/>
      <c r="P10" s="213"/>
      <c r="Q10" s="213"/>
      <c r="R10" s="220"/>
      <c r="S10" s="221" t="s">
        <v>720</v>
      </c>
      <c r="T10" s="31"/>
      <c r="U10" s="31"/>
      <c r="V10" s="31"/>
      <c r="W10" s="31"/>
      <c r="X10" s="31"/>
      <c r="Y10" s="31"/>
      <c r="Z10" s="31"/>
      <c r="AA10" s="31"/>
      <c r="AB10" s="31"/>
      <c r="AC10" s="31"/>
      <c r="AD10" s="31"/>
      <c r="AE10" s="31"/>
      <c r="AF10" s="31"/>
      <c r="AG10" s="31"/>
      <c r="AH10" s="31"/>
      <c r="AI10" s="31"/>
      <c r="AJ10" s="31"/>
      <c r="AK10" s="31"/>
    </row>
    <row r="11" spans="1:37" ht="15.6">
      <c r="A11" s="213">
        <v>10</v>
      </c>
      <c r="B11" s="214" t="s">
        <v>114</v>
      </c>
      <c r="C11" s="215" t="s">
        <v>721</v>
      </c>
      <c r="D11" s="216" t="s">
        <v>722</v>
      </c>
      <c r="E11" s="216" t="s">
        <v>723</v>
      </c>
      <c r="F11" s="216"/>
      <c r="G11" s="216"/>
      <c r="H11" s="217" t="s">
        <v>724</v>
      </c>
      <c r="I11" s="213" t="s">
        <v>682</v>
      </c>
      <c r="J11" s="218" t="s">
        <v>683</v>
      </c>
      <c r="K11" s="218" t="s">
        <v>73</v>
      </c>
      <c r="L11" s="219"/>
      <c r="M11" s="218"/>
      <c r="N11" s="218"/>
      <c r="O11" s="213"/>
      <c r="P11" s="213"/>
      <c r="Q11" s="213"/>
      <c r="R11" s="220"/>
      <c r="S11" s="221" t="s">
        <v>720</v>
      </c>
      <c r="T11" s="31"/>
      <c r="U11" s="31"/>
      <c r="V11" s="31"/>
      <c r="W11" s="31"/>
      <c r="X11" s="31"/>
      <c r="Y11" s="31"/>
      <c r="Z11" s="31"/>
      <c r="AA11" s="31"/>
      <c r="AB11" s="31"/>
      <c r="AC11" s="31"/>
      <c r="AD11" s="31"/>
      <c r="AE11" s="31"/>
      <c r="AF11" s="31"/>
      <c r="AG11" s="31"/>
      <c r="AH11" s="31"/>
      <c r="AI11" s="31"/>
      <c r="AJ11" s="31"/>
      <c r="AK11" s="31"/>
    </row>
    <row r="12" spans="1:37" ht="15.6">
      <c r="A12" s="213">
        <v>11</v>
      </c>
      <c r="B12" s="214" t="s">
        <v>264</v>
      </c>
      <c r="C12" s="215" t="s">
        <v>725</v>
      </c>
      <c r="D12" s="216" t="s">
        <v>726</v>
      </c>
      <c r="E12" s="216" t="s">
        <v>727</v>
      </c>
      <c r="F12" s="216"/>
      <c r="G12" s="216"/>
      <c r="H12" s="217" t="s">
        <v>728</v>
      </c>
      <c r="I12" s="213" t="s">
        <v>682</v>
      </c>
      <c r="J12" s="218" t="s">
        <v>683</v>
      </c>
      <c r="K12" s="218" t="s">
        <v>73</v>
      </c>
      <c r="L12" s="219"/>
      <c r="M12" s="218"/>
      <c r="N12" s="218"/>
      <c r="O12" s="213"/>
      <c r="P12" s="213"/>
      <c r="Q12" s="213"/>
      <c r="R12" s="220"/>
      <c r="S12" s="221" t="s">
        <v>729</v>
      </c>
      <c r="T12" s="31"/>
      <c r="U12" s="31"/>
      <c r="V12" s="31"/>
      <c r="W12" s="31"/>
      <c r="X12" s="31"/>
      <c r="Y12" s="31"/>
      <c r="Z12" s="31"/>
      <c r="AA12" s="31"/>
      <c r="AB12" s="31"/>
      <c r="AC12" s="31"/>
      <c r="AD12" s="31"/>
      <c r="AE12" s="31"/>
      <c r="AF12" s="31"/>
      <c r="AG12" s="31"/>
      <c r="AH12" s="31"/>
      <c r="AI12" s="31"/>
      <c r="AJ12" s="31"/>
      <c r="AK12" s="31"/>
    </row>
    <row r="13" spans="1:37" ht="15.6">
      <c r="A13" s="213">
        <v>12</v>
      </c>
      <c r="B13" s="214" t="s">
        <v>452</v>
      </c>
      <c r="C13" s="215" t="s">
        <v>730</v>
      </c>
      <c r="D13" s="216" t="s">
        <v>731</v>
      </c>
      <c r="E13" s="216" t="s">
        <v>732</v>
      </c>
      <c r="F13" s="216"/>
      <c r="G13" s="216"/>
      <c r="H13" s="217" t="s">
        <v>733</v>
      </c>
      <c r="I13" s="213" t="s">
        <v>682</v>
      </c>
      <c r="J13" s="218" t="s">
        <v>683</v>
      </c>
      <c r="K13" s="218" t="s">
        <v>73</v>
      </c>
      <c r="L13" s="219"/>
      <c r="M13" s="218"/>
      <c r="N13" s="218"/>
      <c r="O13" s="213"/>
      <c r="P13" s="213"/>
      <c r="Q13" s="213"/>
      <c r="R13" s="220"/>
      <c r="S13" s="221" t="s">
        <v>729</v>
      </c>
      <c r="T13" s="31"/>
      <c r="U13" s="31"/>
      <c r="V13" s="31"/>
      <c r="W13" s="31"/>
      <c r="X13" s="31"/>
      <c r="Y13" s="31"/>
      <c r="Z13" s="31"/>
      <c r="AA13" s="31"/>
      <c r="AB13" s="31"/>
      <c r="AC13" s="31"/>
      <c r="AD13" s="31"/>
      <c r="AE13" s="31"/>
      <c r="AF13" s="31"/>
      <c r="AG13" s="31"/>
      <c r="AH13" s="31"/>
      <c r="AI13" s="31"/>
      <c r="AJ13" s="31"/>
      <c r="AK13" s="31"/>
    </row>
    <row r="14" spans="1:37" ht="15.6">
      <c r="A14" s="213">
        <v>13</v>
      </c>
      <c r="B14" s="214" t="s">
        <v>354</v>
      </c>
      <c r="C14" s="215" t="s">
        <v>734</v>
      </c>
      <c r="D14" s="216" t="s">
        <v>735</v>
      </c>
      <c r="E14" s="216" t="s">
        <v>736</v>
      </c>
      <c r="F14" s="216"/>
      <c r="G14" s="216"/>
      <c r="H14" s="217" t="s">
        <v>737</v>
      </c>
      <c r="I14" s="213" t="s">
        <v>682</v>
      </c>
      <c r="J14" s="218" t="s">
        <v>683</v>
      </c>
      <c r="K14" s="218" t="s">
        <v>73</v>
      </c>
      <c r="L14" s="219"/>
      <c r="M14" s="218"/>
      <c r="N14" s="218"/>
      <c r="O14" s="213"/>
      <c r="P14" s="213"/>
      <c r="Q14" s="213"/>
      <c r="R14" s="220"/>
      <c r="S14" s="221" t="s">
        <v>738</v>
      </c>
      <c r="T14" s="31"/>
      <c r="U14" s="31"/>
      <c r="V14" s="31"/>
      <c r="W14" s="31"/>
      <c r="X14" s="31"/>
      <c r="Y14" s="31"/>
      <c r="Z14" s="31"/>
      <c r="AA14" s="31"/>
      <c r="AB14" s="31"/>
      <c r="AC14" s="31"/>
      <c r="AD14" s="31"/>
      <c r="AE14" s="31"/>
      <c r="AF14" s="31"/>
      <c r="AG14" s="31"/>
      <c r="AH14" s="31"/>
      <c r="AI14" s="31"/>
      <c r="AJ14" s="31"/>
      <c r="AK14" s="31"/>
    </row>
    <row r="15" spans="1:37" ht="15.6">
      <c r="A15" s="213">
        <v>14</v>
      </c>
      <c r="B15" s="214" t="s">
        <v>598</v>
      </c>
      <c r="C15" s="215" t="s">
        <v>739</v>
      </c>
      <c r="D15" s="216" t="s">
        <v>740</v>
      </c>
      <c r="E15" s="216" t="s">
        <v>741</v>
      </c>
      <c r="F15" s="216"/>
      <c r="G15" s="216"/>
      <c r="H15" s="217" t="s">
        <v>737</v>
      </c>
      <c r="I15" s="213" t="s">
        <v>682</v>
      </c>
      <c r="J15" s="218" t="s">
        <v>683</v>
      </c>
      <c r="K15" s="218" t="s">
        <v>73</v>
      </c>
      <c r="L15" s="219"/>
      <c r="M15" s="218"/>
      <c r="N15" s="218"/>
      <c r="O15" s="213"/>
      <c r="P15" s="213"/>
      <c r="Q15" s="213"/>
      <c r="R15" s="220"/>
      <c r="S15" s="221" t="s">
        <v>738</v>
      </c>
      <c r="T15" s="31"/>
      <c r="U15" s="31"/>
      <c r="V15" s="31"/>
      <c r="W15" s="31"/>
      <c r="X15" s="31"/>
      <c r="Y15" s="31"/>
      <c r="Z15" s="31"/>
      <c r="AA15" s="31"/>
      <c r="AB15" s="31"/>
      <c r="AC15" s="31"/>
      <c r="AD15" s="31"/>
      <c r="AE15" s="31"/>
      <c r="AF15" s="31"/>
      <c r="AG15" s="31"/>
      <c r="AH15" s="31"/>
      <c r="AI15" s="31"/>
      <c r="AJ15" s="31"/>
      <c r="AK15" s="31"/>
    </row>
    <row r="16" spans="1:37" ht="15.6">
      <c r="A16" s="213">
        <v>15</v>
      </c>
      <c r="B16" s="214" t="s">
        <v>157</v>
      </c>
      <c r="C16" s="215" t="s">
        <v>742</v>
      </c>
      <c r="D16" s="216" t="s">
        <v>743</v>
      </c>
      <c r="E16" s="216" t="s">
        <v>744</v>
      </c>
      <c r="F16" s="216"/>
      <c r="G16" s="216"/>
      <c r="H16" s="217" t="s">
        <v>745</v>
      </c>
      <c r="I16" s="213" t="s">
        <v>682</v>
      </c>
      <c r="J16" s="218" t="s">
        <v>683</v>
      </c>
      <c r="K16" s="218" t="s">
        <v>73</v>
      </c>
      <c r="L16" s="219"/>
      <c r="M16" s="218"/>
      <c r="N16" s="218"/>
      <c r="O16" s="213"/>
      <c r="P16" s="213"/>
      <c r="Q16" s="213"/>
      <c r="R16" s="220"/>
      <c r="S16" s="221" t="s">
        <v>720</v>
      </c>
      <c r="T16" s="31"/>
      <c r="U16" s="31"/>
      <c r="V16" s="31"/>
      <c r="W16" s="31"/>
      <c r="X16" s="31"/>
      <c r="Y16" s="31"/>
      <c r="Z16" s="31"/>
      <c r="AA16" s="31"/>
      <c r="AB16" s="31"/>
      <c r="AC16" s="31"/>
      <c r="AD16" s="31"/>
      <c r="AE16" s="31"/>
      <c r="AF16" s="31"/>
      <c r="AG16" s="31"/>
      <c r="AH16" s="31"/>
      <c r="AI16" s="31"/>
      <c r="AJ16" s="31"/>
      <c r="AK16" s="31"/>
    </row>
    <row r="17" spans="1:37" ht="15.6">
      <c r="A17" s="213">
        <v>16</v>
      </c>
      <c r="B17" s="214" t="s">
        <v>574</v>
      </c>
      <c r="C17" s="215" t="s">
        <v>746</v>
      </c>
      <c r="D17" s="216" t="s">
        <v>747</v>
      </c>
      <c r="E17" s="216" t="s">
        <v>575</v>
      </c>
      <c r="F17" s="216"/>
      <c r="G17" s="216"/>
      <c r="H17" s="217" t="s">
        <v>748</v>
      </c>
      <c r="I17" s="213" t="s">
        <v>682</v>
      </c>
      <c r="J17" s="218" t="s">
        <v>683</v>
      </c>
      <c r="K17" s="218" t="s">
        <v>73</v>
      </c>
      <c r="L17" s="219"/>
      <c r="M17" s="218"/>
      <c r="N17" s="218"/>
      <c r="O17" s="213"/>
      <c r="P17" s="213"/>
      <c r="Q17" s="213"/>
      <c r="R17" s="220"/>
      <c r="S17" s="221" t="s">
        <v>729</v>
      </c>
      <c r="T17" s="31"/>
      <c r="U17" s="31"/>
      <c r="V17" s="31"/>
      <c r="W17" s="31"/>
      <c r="X17" s="31"/>
      <c r="Y17" s="31"/>
      <c r="Z17" s="31"/>
      <c r="AA17" s="31"/>
      <c r="AB17" s="31"/>
      <c r="AC17" s="31"/>
      <c r="AD17" s="31"/>
      <c r="AE17" s="31"/>
      <c r="AF17" s="31"/>
      <c r="AG17" s="31"/>
      <c r="AH17" s="31"/>
      <c r="AI17" s="31"/>
      <c r="AJ17" s="31"/>
      <c r="AK17" s="31"/>
    </row>
    <row r="18" spans="1:37" ht="15.6">
      <c r="A18" s="213">
        <v>17</v>
      </c>
      <c r="B18" s="214" t="s">
        <v>203</v>
      </c>
      <c r="C18" s="215" t="s">
        <v>749</v>
      </c>
      <c r="D18" s="216" t="s">
        <v>750</v>
      </c>
      <c r="E18" s="216" t="s">
        <v>751</v>
      </c>
      <c r="F18" s="216"/>
      <c r="G18" s="216"/>
      <c r="H18" s="217" t="s">
        <v>752</v>
      </c>
      <c r="I18" s="213" t="s">
        <v>682</v>
      </c>
      <c r="J18" s="218" t="s">
        <v>683</v>
      </c>
      <c r="K18" s="218" t="s">
        <v>73</v>
      </c>
      <c r="L18" s="219"/>
      <c r="M18" s="218"/>
      <c r="N18" s="218"/>
      <c r="O18" s="213"/>
      <c r="P18" s="213"/>
      <c r="Q18" s="213"/>
      <c r="R18" s="220"/>
      <c r="S18" s="221" t="s">
        <v>720</v>
      </c>
      <c r="T18" s="31"/>
      <c r="U18" s="31"/>
      <c r="V18" s="31"/>
      <c r="W18" s="31"/>
      <c r="X18" s="31"/>
      <c r="Y18" s="31"/>
      <c r="Z18" s="31"/>
      <c r="AA18" s="31"/>
      <c r="AB18" s="31"/>
      <c r="AC18" s="31"/>
      <c r="AD18" s="31"/>
      <c r="AE18" s="31"/>
      <c r="AF18" s="31"/>
      <c r="AG18" s="31"/>
      <c r="AH18" s="31"/>
      <c r="AI18" s="31"/>
      <c r="AJ18" s="31"/>
      <c r="AK18" s="31"/>
    </row>
    <row r="19" spans="1:37" ht="15.6">
      <c r="A19" s="213">
        <v>18</v>
      </c>
      <c r="B19" s="214" t="s">
        <v>104</v>
      </c>
      <c r="C19" s="215" t="s">
        <v>753</v>
      </c>
      <c r="D19" s="216" t="s">
        <v>754</v>
      </c>
      <c r="E19" s="216" t="s">
        <v>755</v>
      </c>
      <c r="F19" s="216"/>
      <c r="G19" s="216"/>
      <c r="H19" s="217" t="s">
        <v>756</v>
      </c>
      <c r="I19" s="213" t="s">
        <v>682</v>
      </c>
      <c r="J19" s="218" t="s">
        <v>683</v>
      </c>
      <c r="K19" s="218" t="s">
        <v>73</v>
      </c>
      <c r="L19" s="219"/>
      <c r="M19" s="218"/>
      <c r="N19" s="218"/>
      <c r="O19" s="213"/>
      <c r="P19" s="213"/>
      <c r="Q19" s="213"/>
      <c r="R19" s="220"/>
      <c r="S19" s="221" t="s">
        <v>757</v>
      </c>
      <c r="T19" s="31"/>
      <c r="U19" s="31"/>
      <c r="V19" s="31"/>
      <c r="W19" s="31"/>
      <c r="X19" s="31"/>
      <c r="Y19" s="31"/>
      <c r="Z19" s="31"/>
      <c r="AA19" s="31"/>
      <c r="AB19" s="31"/>
      <c r="AC19" s="31"/>
      <c r="AD19" s="31"/>
      <c r="AE19" s="31"/>
      <c r="AF19" s="31"/>
      <c r="AG19" s="31"/>
      <c r="AH19" s="31"/>
      <c r="AI19" s="31"/>
      <c r="AJ19" s="31"/>
      <c r="AK19" s="31"/>
    </row>
    <row r="20" spans="1:37" ht="15.6">
      <c r="A20" s="213">
        <v>19</v>
      </c>
      <c r="B20" s="214" t="s">
        <v>174</v>
      </c>
      <c r="C20" s="215" t="s">
        <v>758</v>
      </c>
      <c r="D20" s="216" t="s">
        <v>759</v>
      </c>
      <c r="E20" s="216" t="s">
        <v>760</v>
      </c>
      <c r="F20" s="216"/>
      <c r="G20" s="216"/>
      <c r="H20" s="217" t="s">
        <v>761</v>
      </c>
      <c r="I20" s="213" t="s">
        <v>682</v>
      </c>
      <c r="J20" s="218" t="s">
        <v>683</v>
      </c>
      <c r="K20" s="218" t="s">
        <v>73</v>
      </c>
      <c r="L20" s="219"/>
      <c r="M20" s="218"/>
      <c r="N20" s="218"/>
      <c r="O20" s="213"/>
      <c r="P20" s="213"/>
      <c r="Q20" s="213"/>
      <c r="R20" s="220"/>
      <c r="S20" s="221" t="s">
        <v>757</v>
      </c>
      <c r="T20" s="31"/>
      <c r="U20" s="31"/>
      <c r="V20" s="31"/>
      <c r="W20" s="31"/>
      <c r="X20" s="31"/>
      <c r="Y20" s="31"/>
      <c r="Z20" s="31"/>
      <c r="AA20" s="31"/>
      <c r="AB20" s="31"/>
      <c r="AC20" s="31"/>
      <c r="AD20" s="31"/>
      <c r="AE20" s="31"/>
      <c r="AF20" s="31"/>
      <c r="AG20" s="31"/>
      <c r="AH20" s="31"/>
      <c r="AI20" s="31"/>
      <c r="AJ20" s="31"/>
      <c r="AK20" s="31"/>
    </row>
    <row r="21" spans="1:37" ht="15.6">
      <c r="A21" s="213">
        <v>20</v>
      </c>
      <c r="B21" s="214" t="s">
        <v>391</v>
      </c>
      <c r="C21" s="215" t="s">
        <v>762</v>
      </c>
      <c r="D21" s="216" t="s">
        <v>763</v>
      </c>
      <c r="E21" s="216" t="s">
        <v>764</v>
      </c>
      <c r="F21" s="216"/>
      <c r="G21" s="216"/>
      <c r="H21" s="217" t="s">
        <v>765</v>
      </c>
      <c r="I21" s="213" t="s">
        <v>682</v>
      </c>
      <c r="J21" s="218" t="s">
        <v>683</v>
      </c>
      <c r="K21" s="218" t="s">
        <v>73</v>
      </c>
      <c r="L21" s="219"/>
      <c r="M21" s="218"/>
      <c r="N21" s="218"/>
      <c r="O21" s="213"/>
      <c r="P21" s="213"/>
      <c r="Q21" s="213"/>
      <c r="R21" s="220"/>
      <c r="S21" s="221" t="s">
        <v>738</v>
      </c>
      <c r="T21" s="31"/>
      <c r="U21" s="31"/>
      <c r="V21" s="31"/>
      <c r="W21" s="31"/>
      <c r="X21" s="31"/>
      <c r="Y21" s="31"/>
      <c r="Z21" s="31"/>
      <c r="AA21" s="31"/>
      <c r="AB21" s="31"/>
      <c r="AC21" s="31"/>
      <c r="AD21" s="31"/>
      <c r="AE21" s="31"/>
      <c r="AF21" s="31"/>
      <c r="AG21" s="31"/>
      <c r="AH21" s="31"/>
      <c r="AI21" s="31"/>
      <c r="AJ21" s="31"/>
      <c r="AK21" s="31"/>
    </row>
    <row r="22" spans="1:37" ht="15.6">
      <c r="A22" s="213">
        <v>21</v>
      </c>
      <c r="B22" s="214" t="s">
        <v>587</v>
      </c>
      <c r="C22" s="215" t="s">
        <v>766</v>
      </c>
      <c r="D22" s="216" t="s">
        <v>767</v>
      </c>
      <c r="E22" s="216" t="s">
        <v>768</v>
      </c>
      <c r="F22" s="216"/>
      <c r="G22" s="216"/>
      <c r="H22" s="217" t="s">
        <v>769</v>
      </c>
      <c r="I22" s="213" t="s">
        <v>682</v>
      </c>
      <c r="J22" s="218" t="s">
        <v>683</v>
      </c>
      <c r="K22" s="218" t="s">
        <v>73</v>
      </c>
      <c r="L22" s="219"/>
      <c r="M22" s="218"/>
      <c r="N22" s="218"/>
      <c r="O22" s="213"/>
      <c r="P22" s="213"/>
      <c r="Q22" s="213"/>
      <c r="R22" s="220"/>
      <c r="S22" s="221" t="s">
        <v>720</v>
      </c>
      <c r="T22" s="31"/>
      <c r="U22" s="31"/>
      <c r="V22" s="31"/>
      <c r="W22" s="31"/>
      <c r="X22" s="31"/>
      <c r="Y22" s="31"/>
      <c r="Z22" s="31"/>
      <c r="AA22" s="31"/>
      <c r="AB22" s="31"/>
      <c r="AC22" s="31"/>
      <c r="AD22" s="31"/>
      <c r="AE22" s="31"/>
      <c r="AF22" s="31"/>
      <c r="AG22" s="31"/>
      <c r="AH22" s="31"/>
      <c r="AI22" s="31"/>
      <c r="AJ22" s="31"/>
      <c r="AK22" s="31"/>
    </row>
    <row r="23" spans="1:37" ht="15.6">
      <c r="A23" s="213">
        <v>22</v>
      </c>
      <c r="B23" s="214" t="s">
        <v>435</v>
      </c>
      <c r="C23" s="215" t="s">
        <v>770</v>
      </c>
      <c r="D23" s="216" t="s">
        <v>771</v>
      </c>
      <c r="E23" s="216" t="s">
        <v>772</v>
      </c>
      <c r="F23" s="216"/>
      <c r="G23" s="216"/>
      <c r="H23" s="217" t="s">
        <v>773</v>
      </c>
      <c r="I23" s="213" t="s">
        <v>682</v>
      </c>
      <c r="J23" s="218" t="s">
        <v>683</v>
      </c>
      <c r="K23" s="218" t="s">
        <v>73</v>
      </c>
      <c r="L23" s="219"/>
      <c r="M23" s="218"/>
      <c r="N23" s="218"/>
      <c r="O23" s="213"/>
      <c r="P23" s="213"/>
      <c r="Q23" s="213"/>
      <c r="R23" s="220"/>
      <c r="S23" s="221" t="s">
        <v>720</v>
      </c>
      <c r="T23" s="31"/>
      <c r="U23" s="31"/>
      <c r="V23" s="31"/>
      <c r="W23" s="31"/>
      <c r="X23" s="31"/>
      <c r="Y23" s="31"/>
      <c r="Z23" s="31"/>
      <c r="AA23" s="31"/>
      <c r="AB23" s="31"/>
      <c r="AC23" s="31"/>
      <c r="AD23" s="31"/>
      <c r="AE23" s="31"/>
      <c r="AF23" s="31"/>
      <c r="AG23" s="31"/>
      <c r="AH23" s="31"/>
      <c r="AI23" s="31"/>
      <c r="AJ23" s="31"/>
      <c r="AK23" s="31"/>
    </row>
    <row r="24" spans="1:37" ht="15.6">
      <c r="A24" s="213">
        <v>23</v>
      </c>
      <c r="B24" s="214" t="s">
        <v>170</v>
      </c>
      <c r="C24" s="215" t="s">
        <v>774</v>
      </c>
      <c r="D24" s="216" t="s">
        <v>775</v>
      </c>
      <c r="E24" s="216" t="s">
        <v>776</v>
      </c>
      <c r="F24" s="216"/>
      <c r="G24" s="216"/>
      <c r="H24" s="217" t="s">
        <v>761</v>
      </c>
      <c r="I24" s="213" t="s">
        <v>682</v>
      </c>
      <c r="J24" s="218" t="s">
        <v>683</v>
      </c>
      <c r="K24" s="218" t="s">
        <v>73</v>
      </c>
      <c r="L24" s="219"/>
      <c r="M24" s="218"/>
      <c r="N24" s="218"/>
      <c r="O24" s="213"/>
      <c r="P24" s="213"/>
      <c r="Q24" s="213"/>
      <c r="R24" s="220"/>
      <c r="S24" s="221" t="s">
        <v>757</v>
      </c>
      <c r="T24" s="31"/>
      <c r="U24" s="31"/>
      <c r="V24" s="31"/>
      <c r="W24" s="31"/>
      <c r="X24" s="31"/>
      <c r="Y24" s="31"/>
      <c r="Z24" s="31"/>
      <c r="AA24" s="31"/>
      <c r="AB24" s="31"/>
      <c r="AC24" s="31"/>
      <c r="AD24" s="31"/>
      <c r="AE24" s="31"/>
      <c r="AF24" s="31"/>
      <c r="AG24" s="31"/>
      <c r="AH24" s="31"/>
      <c r="AI24" s="31"/>
      <c r="AJ24" s="31"/>
      <c r="AK24" s="31"/>
    </row>
    <row r="25" spans="1:37" ht="15.6">
      <c r="A25" s="213">
        <v>24</v>
      </c>
      <c r="B25" s="214" t="s">
        <v>410</v>
      </c>
      <c r="C25" s="215" t="s">
        <v>777</v>
      </c>
      <c r="D25" s="216" t="s">
        <v>778</v>
      </c>
      <c r="E25" s="216" t="s">
        <v>779</v>
      </c>
      <c r="F25" s="216"/>
      <c r="G25" s="216"/>
      <c r="H25" s="217" t="s">
        <v>780</v>
      </c>
      <c r="I25" s="213" t="s">
        <v>682</v>
      </c>
      <c r="J25" s="218" t="s">
        <v>683</v>
      </c>
      <c r="K25" s="218" t="s">
        <v>73</v>
      </c>
      <c r="L25" s="219"/>
      <c r="M25" s="218"/>
      <c r="N25" s="218"/>
      <c r="O25" s="213"/>
      <c r="P25" s="213"/>
      <c r="Q25" s="213"/>
      <c r="R25" s="220"/>
      <c r="S25" s="221" t="s">
        <v>757</v>
      </c>
      <c r="T25" s="31"/>
      <c r="U25" s="31"/>
      <c r="V25" s="31"/>
      <c r="W25" s="31"/>
      <c r="X25" s="31"/>
      <c r="Y25" s="31"/>
      <c r="Z25" s="31"/>
      <c r="AA25" s="31"/>
      <c r="AB25" s="31"/>
      <c r="AC25" s="31"/>
      <c r="AD25" s="31"/>
      <c r="AE25" s="31"/>
      <c r="AF25" s="31"/>
      <c r="AG25" s="31"/>
      <c r="AH25" s="31"/>
      <c r="AI25" s="31"/>
      <c r="AJ25" s="31"/>
      <c r="AK25" s="31"/>
    </row>
    <row r="26" spans="1:37" ht="15.6">
      <c r="A26" s="213">
        <v>25</v>
      </c>
      <c r="B26" s="214" t="s">
        <v>463</v>
      </c>
      <c r="C26" s="215" t="s">
        <v>781</v>
      </c>
      <c r="D26" s="216" t="s">
        <v>782</v>
      </c>
      <c r="E26" s="216" t="s">
        <v>783</v>
      </c>
      <c r="F26" s="216" t="s">
        <v>784</v>
      </c>
      <c r="G26" s="216"/>
      <c r="H26" s="217" t="s">
        <v>659</v>
      </c>
      <c r="I26" s="213" t="s">
        <v>682</v>
      </c>
      <c r="J26" s="218" t="s">
        <v>683</v>
      </c>
      <c r="K26" s="218" t="s">
        <v>73</v>
      </c>
      <c r="L26" s="219"/>
      <c r="M26" s="218"/>
      <c r="N26" s="218"/>
      <c r="O26" s="213"/>
      <c r="P26" s="213"/>
      <c r="Q26" s="213"/>
      <c r="R26" s="220"/>
      <c r="S26" s="221" t="s">
        <v>720</v>
      </c>
      <c r="T26" s="31"/>
      <c r="U26" s="31"/>
      <c r="V26" s="31"/>
      <c r="W26" s="31"/>
      <c r="X26" s="31"/>
      <c r="Y26" s="31"/>
      <c r="Z26" s="31"/>
      <c r="AA26" s="31"/>
      <c r="AB26" s="31"/>
      <c r="AC26" s="31"/>
      <c r="AD26" s="31"/>
      <c r="AE26" s="31"/>
      <c r="AF26" s="31"/>
      <c r="AG26" s="31"/>
      <c r="AH26" s="31"/>
      <c r="AI26" s="31"/>
      <c r="AJ26" s="31"/>
      <c r="AK26" s="31"/>
    </row>
    <row r="27" spans="1:37" ht="15.6">
      <c r="A27" s="213">
        <v>26</v>
      </c>
      <c r="B27" s="214" t="s">
        <v>297</v>
      </c>
      <c r="C27" s="215" t="s">
        <v>785</v>
      </c>
      <c r="D27" s="216" t="s">
        <v>786</v>
      </c>
      <c r="E27" s="216" t="s">
        <v>787</v>
      </c>
      <c r="F27" s="216"/>
      <c r="G27" s="216"/>
      <c r="H27" s="217" t="s">
        <v>711</v>
      </c>
      <c r="I27" s="213" t="s">
        <v>682</v>
      </c>
      <c r="J27" s="218" t="s">
        <v>683</v>
      </c>
      <c r="K27" s="218" t="s">
        <v>73</v>
      </c>
      <c r="L27" s="219"/>
      <c r="M27" s="218"/>
      <c r="N27" s="218"/>
      <c r="O27" s="213"/>
      <c r="P27" s="213"/>
      <c r="Q27" s="213"/>
      <c r="R27" s="220"/>
      <c r="S27" s="221" t="s">
        <v>689</v>
      </c>
      <c r="T27" s="31"/>
      <c r="U27" s="31"/>
      <c r="V27" s="31"/>
      <c r="W27" s="31"/>
      <c r="X27" s="31"/>
      <c r="Y27" s="31"/>
      <c r="Z27" s="31"/>
      <c r="AA27" s="31"/>
      <c r="AB27" s="31"/>
      <c r="AC27" s="31"/>
      <c r="AD27" s="31"/>
      <c r="AE27" s="31"/>
      <c r="AF27" s="31"/>
      <c r="AG27" s="31"/>
      <c r="AH27" s="31"/>
      <c r="AI27" s="31"/>
      <c r="AJ27" s="31"/>
      <c r="AK27" s="31"/>
    </row>
    <row r="28" spans="1:37" ht="15.6">
      <c r="A28" s="213">
        <v>27</v>
      </c>
      <c r="B28" s="214" t="s">
        <v>387</v>
      </c>
      <c r="C28" s="215" t="s">
        <v>788</v>
      </c>
      <c r="D28" s="216" t="s">
        <v>789</v>
      </c>
      <c r="E28" s="216" t="s">
        <v>790</v>
      </c>
      <c r="F28" s="216"/>
      <c r="G28" s="216"/>
      <c r="H28" s="217" t="s">
        <v>711</v>
      </c>
      <c r="I28" s="213" t="s">
        <v>682</v>
      </c>
      <c r="J28" s="218" t="s">
        <v>683</v>
      </c>
      <c r="K28" s="218" t="s">
        <v>73</v>
      </c>
      <c r="L28" s="219">
        <v>44958</v>
      </c>
      <c r="M28" s="218"/>
      <c r="N28" s="218"/>
      <c r="O28" s="213"/>
      <c r="P28" s="213"/>
      <c r="Q28" s="213"/>
      <c r="R28" s="220"/>
      <c r="S28" s="221"/>
      <c r="T28" s="31"/>
      <c r="U28" s="31"/>
      <c r="V28" s="31"/>
      <c r="W28" s="31"/>
      <c r="X28" s="31"/>
      <c r="Y28" s="31"/>
      <c r="Z28" s="31"/>
      <c r="AA28" s="31"/>
      <c r="AB28" s="31"/>
      <c r="AC28" s="31"/>
      <c r="AD28" s="31"/>
      <c r="AE28" s="31"/>
      <c r="AF28" s="31"/>
      <c r="AG28" s="31"/>
      <c r="AH28" s="31"/>
      <c r="AI28" s="31"/>
      <c r="AJ28" s="31"/>
      <c r="AK28" s="31"/>
    </row>
    <row r="29" spans="1:37" ht="15.6">
      <c r="A29" s="213">
        <v>28</v>
      </c>
      <c r="B29" s="214" t="s">
        <v>133</v>
      </c>
      <c r="C29" s="215" t="s">
        <v>791</v>
      </c>
      <c r="D29" s="216" t="s">
        <v>792</v>
      </c>
      <c r="E29" s="216" t="s">
        <v>793</v>
      </c>
      <c r="F29" s="216"/>
      <c r="G29" s="216"/>
      <c r="H29" s="217" t="s">
        <v>794</v>
      </c>
      <c r="I29" s="213" t="s">
        <v>682</v>
      </c>
      <c r="J29" s="218" t="s">
        <v>683</v>
      </c>
      <c r="K29" s="218" t="s">
        <v>73</v>
      </c>
      <c r="L29" s="219"/>
      <c r="M29" s="218"/>
      <c r="N29" s="218"/>
      <c r="O29" s="213"/>
      <c r="P29" s="213"/>
      <c r="Q29" s="213"/>
      <c r="R29" s="220"/>
      <c r="S29" s="221" t="s">
        <v>729</v>
      </c>
      <c r="T29" s="31"/>
      <c r="U29" s="31"/>
      <c r="V29" s="31"/>
      <c r="W29" s="31"/>
      <c r="X29" s="31"/>
      <c r="Y29" s="31"/>
      <c r="Z29" s="31"/>
      <c r="AA29" s="31"/>
      <c r="AB29" s="31"/>
      <c r="AC29" s="31"/>
      <c r="AD29" s="31"/>
      <c r="AE29" s="31"/>
      <c r="AF29" s="31"/>
      <c r="AG29" s="31"/>
      <c r="AH29" s="31"/>
      <c r="AI29" s="31"/>
      <c r="AJ29" s="31"/>
      <c r="AK29" s="31"/>
    </row>
    <row r="30" spans="1:37" ht="15.6">
      <c r="A30" s="213">
        <v>29</v>
      </c>
      <c r="B30" s="214" t="s">
        <v>139</v>
      </c>
      <c r="C30" s="215" t="s">
        <v>795</v>
      </c>
      <c r="D30" s="216" t="s">
        <v>796</v>
      </c>
      <c r="E30" s="216" t="s">
        <v>797</v>
      </c>
      <c r="F30" s="216"/>
      <c r="G30" s="216"/>
      <c r="H30" s="217" t="s">
        <v>798</v>
      </c>
      <c r="I30" s="213" t="s">
        <v>682</v>
      </c>
      <c r="J30" s="218" t="s">
        <v>683</v>
      </c>
      <c r="K30" s="218" t="s">
        <v>73</v>
      </c>
      <c r="L30" s="219"/>
      <c r="M30" s="218"/>
      <c r="N30" s="218"/>
      <c r="O30" s="213"/>
      <c r="P30" s="213"/>
      <c r="Q30" s="213"/>
      <c r="R30" s="220"/>
      <c r="S30" s="221" t="s">
        <v>729</v>
      </c>
      <c r="T30" s="31"/>
      <c r="U30" s="31"/>
      <c r="V30" s="31"/>
      <c r="W30" s="31"/>
      <c r="X30" s="31"/>
      <c r="Y30" s="31"/>
      <c r="Z30" s="31"/>
      <c r="AA30" s="31"/>
      <c r="AB30" s="31"/>
      <c r="AC30" s="31"/>
      <c r="AD30" s="31"/>
      <c r="AE30" s="31"/>
      <c r="AF30" s="31"/>
      <c r="AG30" s="31"/>
      <c r="AH30" s="31"/>
      <c r="AI30" s="31"/>
      <c r="AJ30" s="31"/>
      <c r="AK30" s="31"/>
    </row>
    <row r="31" spans="1:37" ht="15.6">
      <c r="A31" s="213">
        <v>30</v>
      </c>
      <c r="B31" s="214" t="s">
        <v>406</v>
      </c>
      <c r="C31" s="215" t="s">
        <v>799</v>
      </c>
      <c r="D31" s="216" t="s">
        <v>800</v>
      </c>
      <c r="E31" s="216" t="s">
        <v>801</v>
      </c>
      <c r="F31" s="216"/>
      <c r="G31" s="216" t="s">
        <v>661</v>
      </c>
      <c r="H31" s="217" t="s">
        <v>802</v>
      </c>
      <c r="I31" s="213" t="s">
        <v>682</v>
      </c>
      <c r="J31" s="218" t="s">
        <v>683</v>
      </c>
      <c r="K31" s="218" t="s">
        <v>73</v>
      </c>
      <c r="L31" s="219">
        <v>44991</v>
      </c>
      <c r="M31" s="218" t="s">
        <v>803</v>
      </c>
      <c r="N31" s="218" t="s">
        <v>803</v>
      </c>
      <c r="O31" s="213">
        <v>5430</v>
      </c>
      <c r="P31" s="213" t="s">
        <v>803</v>
      </c>
      <c r="Q31" s="213" t="s">
        <v>803</v>
      </c>
      <c r="R31" s="220"/>
      <c r="S31" s="221"/>
      <c r="T31" s="31"/>
      <c r="U31" s="31"/>
      <c r="V31" s="31"/>
      <c r="W31" s="31"/>
      <c r="X31" s="31"/>
      <c r="Y31" s="31"/>
      <c r="Z31" s="31"/>
      <c r="AA31" s="31"/>
      <c r="AB31" s="31"/>
      <c r="AC31" s="31"/>
      <c r="AD31" s="31"/>
      <c r="AE31" s="31"/>
      <c r="AF31" s="31"/>
      <c r="AG31" s="31"/>
      <c r="AH31" s="31"/>
      <c r="AI31" s="31"/>
      <c r="AJ31" s="31"/>
      <c r="AK31" s="31"/>
    </row>
    <row r="32" spans="1:37" ht="15.6">
      <c r="A32" s="213">
        <v>31</v>
      </c>
      <c r="B32" s="214" t="s">
        <v>618</v>
      </c>
      <c r="C32" s="215" t="s">
        <v>804</v>
      </c>
      <c r="D32" s="216" t="s">
        <v>805</v>
      </c>
      <c r="E32" s="216" t="s">
        <v>805</v>
      </c>
      <c r="F32" s="216"/>
      <c r="G32" s="216" t="s">
        <v>806</v>
      </c>
      <c r="H32" s="217" t="s">
        <v>807</v>
      </c>
      <c r="I32" s="213" t="s">
        <v>682</v>
      </c>
      <c r="J32" s="218" t="s">
        <v>683</v>
      </c>
      <c r="K32" s="218" t="s">
        <v>73</v>
      </c>
      <c r="L32" s="222">
        <v>45005</v>
      </c>
      <c r="M32" s="218" t="s">
        <v>803</v>
      </c>
      <c r="N32" s="218"/>
      <c r="O32" s="213"/>
      <c r="P32" s="213"/>
      <c r="Q32" s="213" t="s">
        <v>803</v>
      </c>
      <c r="R32" s="220" t="s">
        <v>808</v>
      </c>
      <c r="S32" s="221"/>
      <c r="T32" s="31"/>
      <c r="U32" s="31"/>
      <c r="V32" s="31"/>
      <c r="W32" s="31"/>
      <c r="X32" s="31"/>
      <c r="Y32" s="31"/>
      <c r="Z32" s="31"/>
      <c r="AA32" s="31"/>
      <c r="AB32" s="31"/>
      <c r="AC32" s="31"/>
      <c r="AD32" s="31"/>
      <c r="AE32" s="31"/>
      <c r="AF32" s="31"/>
      <c r="AG32" s="31"/>
      <c r="AH32" s="31"/>
      <c r="AI32" s="31"/>
      <c r="AJ32" s="31"/>
      <c r="AK32" s="31"/>
    </row>
    <row r="33" spans="1:37" ht="15.6">
      <c r="A33" s="213">
        <v>32</v>
      </c>
      <c r="B33" s="214" t="s">
        <v>191</v>
      </c>
      <c r="C33" s="215" t="s">
        <v>809</v>
      </c>
      <c r="D33" s="216" t="s">
        <v>810</v>
      </c>
      <c r="E33" s="216" t="s">
        <v>811</v>
      </c>
      <c r="F33" s="216"/>
      <c r="G33" s="216" t="s">
        <v>54</v>
      </c>
      <c r="H33" s="217" t="s">
        <v>812</v>
      </c>
      <c r="I33" s="213" t="s">
        <v>682</v>
      </c>
      <c r="J33" s="218" t="s">
        <v>683</v>
      </c>
      <c r="K33" s="218" t="s">
        <v>73</v>
      </c>
      <c r="L33" s="219">
        <v>45012</v>
      </c>
      <c r="M33" s="218" t="s">
        <v>803</v>
      </c>
      <c r="N33" s="218" t="s">
        <v>803</v>
      </c>
      <c r="O33" s="213">
        <v>3520</v>
      </c>
      <c r="P33" s="218" t="s">
        <v>803</v>
      </c>
      <c r="Q33" s="213" t="s">
        <v>803</v>
      </c>
      <c r="R33" s="220"/>
      <c r="S33" s="221"/>
      <c r="T33" s="31"/>
      <c r="U33" s="31"/>
      <c r="V33" s="31"/>
      <c r="W33" s="31"/>
      <c r="X33" s="31"/>
      <c r="Y33" s="31"/>
      <c r="Z33" s="31"/>
      <c r="AA33" s="31"/>
      <c r="AB33" s="31"/>
      <c r="AC33" s="31"/>
      <c r="AD33" s="31"/>
      <c r="AE33" s="31"/>
      <c r="AF33" s="31"/>
      <c r="AG33" s="31"/>
      <c r="AH33" s="31"/>
      <c r="AI33" s="31"/>
      <c r="AJ33" s="31"/>
      <c r="AK33" s="31"/>
    </row>
    <row r="34" spans="1:37" ht="15.6">
      <c r="A34" s="213">
        <v>33</v>
      </c>
      <c r="B34" s="214" t="s">
        <v>144</v>
      </c>
      <c r="C34" s="215" t="s">
        <v>813</v>
      </c>
      <c r="D34" s="216" t="s">
        <v>814</v>
      </c>
      <c r="E34" s="216" t="s">
        <v>815</v>
      </c>
      <c r="F34" s="216"/>
      <c r="G34" s="216" t="s">
        <v>816</v>
      </c>
      <c r="H34" s="217" t="s">
        <v>817</v>
      </c>
      <c r="I34" s="213" t="s">
        <v>682</v>
      </c>
      <c r="J34" s="218" t="s">
        <v>683</v>
      </c>
      <c r="K34" s="218" t="s">
        <v>73</v>
      </c>
      <c r="L34" s="219">
        <v>45019</v>
      </c>
      <c r="M34" s="218" t="s">
        <v>803</v>
      </c>
      <c r="N34" s="213" t="s">
        <v>654</v>
      </c>
      <c r="O34" s="213" t="s">
        <v>654</v>
      </c>
      <c r="P34" s="213" t="s">
        <v>654</v>
      </c>
      <c r="Q34" s="213"/>
      <c r="R34" s="220" t="s">
        <v>818</v>
      </c>
      <c r="S34" s="221"/>
      <c r="T34" s="31"/>
      <c r="U34" s="31"/>
      <c r="V34" s="31"/>
      <c r="W34" s="31"/>
      <c r="X34" s="31"/>
      <c r="Y34" s="31"/>
      <c r="Z34" s="31"/>
      <c r="AA34" s="31"/>
      <c r="AB34" s="31"/>
      <c r="AC34" s="31"/>
      <c r="AD34" s="31"/>
      <c r="AE34" s="31"/>
      <c r="AF34" s="31"/>
      <c r="AG34" s="31"/>
      <c r="AH34" s="31"/>
      <c r="AI34" s="31"/>
      <c r="AJ34" s="31"/>
      <c r="AK34" s="31"/>
    </row>
    <row r="35" spans="1:37" ht="15.6">
      <c r="A35" s="213">
        <v>34</v>
      </c>
      <c r="B35" s="214" t="s">
        <v>93</v>
      </c>
      <c r="C35" s="215" t="s">
        <v>819</v>
      </c>
      <c r="D35" s="216" t="s">
        <v>820</v>
      </c>
      <c r="E35" s="216" t="s">
        <v>821</v>
      </c>
      <c r="F35" s="216"/>
      <c r="G35" s="223" t="s">
        <v>822</v>
      </c>
      <c r="H35" s="224" t="s">
        <v>823</v>
      </c>
      <c r="I35" s="213" t="s">
        <v>682</v>
      </c>
      <c r="J35" s="218" t="s">
        <v>683</v>
      </c>
      <c r="K35" s="218" t="s">
        <v>73</v>
      </c>
      <c r="L35" s="230">
        <v>45026</v>
      </c>
      <c r="M35" s="226" t="s">
        <v>803</v>
      </c>
      <c r="N35" s="226" t="s">
        <v>803</v>
      </c>
      <c r="O35" s="225">
        <v>5430</v>
      </c>
      <c r="P35" s="225"/>
      <c r="Q35" s="225"/>
      <c r="R35" s="231" t="s">
        <v>655</v>
      </c>
      <c r="S35" s="229"/>
      <c r="T35" s="31"/>
      <c r="U35" s="31"/>
      <c r="V35" s="31"/>
      <c r="W35" s="31"/>
      <c r="X35" s="31"/>
      <c r="Y35" s="31"/>
      <c r="Z35" s="31"/>
      <c r="AA35" s="31"/>
      <c r="AB35" s="31"/>
      <c r="AC35" s="31"/>
      <c r="AD35" s="31"/>
      <c r="AE35" s="31"/>
      <c r="AF35" s="31"/>
      <c r="AG35" s="31"/>
      <c r="AH35" s="31"/>
      <c r="AI35" s="31"/>
      <c r="AJ35" s="31"/>
      <c r="AK35" s="31"/>
    </row>
    <row r="36" spans="1:37" ht="15.6">
      <c r="A36" s="213">
        <v>35</v>
      </c>
      <c r="B36" s="214" t="s">
        <v>422</v>
      </c>
      <c r="C36" s="215" t="s">
        <v>824</v>
      </c>
      <c r="D36" s="216" t="s">
        <v>825</v>
      </c>
      <c r="E36" s="216" t="s">
        <v>826</v>
      </c>
      <c r="F36" s="216"/>
      <c r="G36" s="232" t="s">
        <v>827</v>
      </c>
      <c r="H36" s="217" t="s">
        <v>828</v>
      </c>
      <c r="I36" s="225" t="s">
        <v>682</v>
      </c>
      <c r="J36" s="218" t="s">
        <v>683</v>
      </c>
      <c r="K36" s="218" t="s">
        <v>73</v>
      </c>
      <c r="L36" s="222">
        <v>45054</v>
      </c>
      <c r="M36" s="218" t="s">
        <v>803</v>
      </c>
      <c r="N36" s="213" t="s">
        <v>654</v>
      </c>
      <c r="O36" s="213" t="s">
        <v>654</v>
      </c>
      <c r="P36" s="213"/>
      <c r="Q36" s="213"/>
      <c r="R36" s="233" t="s">
        <v>829</v>
      </c>
      <c r="S36" s="221"/>
      <c r="T36" s="31"/>
      <c r="U36" s="31"/>
      <c r="V36" s="31"/>
      <c r="W36" s="31"/>
      <c r="X36" s="31"/>
      <c r="Y36" s="31"/>
      <c r="Z36" s="31"/>
      <c r="AA36" s="31"/>
      <c r="AB36" s="31"/>
      <c r="AC36" s="31"/>
      <c r="AD36" s="31"/>
      <c r="AE36" s="31"/>
      <c r="AF36" s="31"/>
      <c r="AG36" s="31"/>
      <c r="AH36" s="31"/>
      <c r="AI36" s="31"/>
      <c r="AJ36" s="31"/>
      <c r="AK36" s="31"/>
    </row>
    <row r="37" spans="1:37" ht="15.6">
      <c r="A37" s="213">
        <v>36</v>
      </c>
      <c r="B37" s="214" t="s">
        <v>431</v>
      </c>
      <c r="C37" s="215" t="s">
        <v>830</v>
      </c>
      <c r="D37" s="216" t="s">
        <v>831</v>
      </c>
      <c r="E37" s="216" t="s">
        <v>832</v>
      </c>
      <c r="F37" s="216"/>
      <c r="G37" s="232" t="s">
        <v>664</v>
      </c>
      <c r="H37" s="217" t="s">
        <v>833</v>
      </c>
      <c r="I37" s="213" t="s">
        <v>682</v>
      </c>
      <c r="J37" s="218" t="s">
        <v>683</v>
      </c>
      <c r="K37" s="218" t="s">
        <v>73</v>
      </c>
      <c r="L37" s="222">
        <v>45069</v>
      </c>
      <c r="M37" s="218" t="s">
        <v>834</v>
      </c>
      <c r="N37" s="218" t="s">
        <v>835</v>
      </c>
      <c r="O37" s="213">
        <v>5430</v>
      </c>
      <c r="P37" s="213"/>
      <c r="Q37" s="213"/>
      <c r="R37" s="220"/>
      <c r="S37" s="221"/>
      <c r="T37" s="31"/>
      <c r="U37" s="31"/>
      <c r="V37" s="31"/>
      <c r="W37" s="31"/>
      <c r="X37" s="31"/>
      <c r="Y37" s="31"/>
      <c r="Z37" s="31"/>
      <c r="AA37" s="31"/>
      <c r="AB37" s="31"/>
      <c r="AC37" s="31"/>
      <c r="AD37" s="31"/>
      <c r="AE37" s="31"/>
      <c r="AF37" s="31"/>
      <c r="AG37" s="31"/>
      <c r="AH37" s="31"/>
      <c r="AI37" s="31"/>
      <c r="AJ37" s="31"/>
      <c r="AK37" s="31"/>
    </row>
    <row r="38" spans="1:37" ht="15.6">
      <c r="A38" s="213">
        <v>37</v>
      </c>
      <c r="B38" s="214" t="s">
        <v>285</v>
      </c>
      <c r="C38" s="215" t="s">
        <v>836</v>
      </c>
      <c r="D38" s="216" t="s">
        <v>837</v>
      </c>
      <c r="E38" s="216" t="s">
        <v>838</v>
      </c>
      <c r="F38" s="216"/>
      <c r="G38" s="232" t="s">
        <v>839</v>
      </c>
      <c r="H38" s="217" t="s">
        <v>840</v>
      </c>
      <c r="I38" s="213" t="s">
        <v>682</v>
      </c>
      <c r="J38" s="218" t="s">
        <v>683</v>
      </c>
      <c r="K38" s="218" t="s">
        <v>73</v>
      </c>
      <c r="L38" s="222">
        <v>45078</v>
      </c>
      <c r="M38" s="218" t="s">
        <v>834</v>
      </c>
      <c r="N38" s="213" t="s">
        <v>654</v>
      </c>
      <c r="O38" s="213">
        <v>3520</v>
      </c>
      <c r="P38" s="213"/>
      <c r="Q38" s="213"/>
      <c r="R38" s="220"/>
      <c r="S38" s="221"/>
      <c r="T38" s="31"/>
      <c r="U38" s="31"/>
      <c r="V38" s="31"/>
      <c r="W38" s="31"/>
      <c r="X38" s="31"/>
      <c r="Y38" s="31"/>
      <c r="Z38" s="31"/>
      <c r="AA38" s="31"/>
      <c r="AB38" s="31"/>
      <c r="AC38" s="31"/>
      <c r="AD38" s="31"/>
      <c r="AE38" s="31"/>
      <c r="AF38" s="31"/>
      <c r="AG38" s="31"/>
      <c r="AH38" s="31"/>
      <c r="AI38" s="31"/>
      <c r="AJ38" s="31"/>
      <c r="AK38" s="31"/>
    </row>
    <row r="39" spans="1:37" ht="15.6">
      <c r="A39" s="213">
        <v>38</v>
      </c>
      <c r="B39" s="214" t="s">
        <v>477</v>
      </c>
      <c r="C39" s="215" t="s">
        <v>841</v>
      </c>
      <c r="D39" s="216" t="s">
        <v>842</v>
      </c>
      <c r="E39" s="216" t="s">
        <v>843</v>
      </c>
      <c r="F39" s="216"/>
      <c r="G39" s="232" t="s">
        <v>844</v>
      </c>
      <c r="H39" s="217" t="s">
        <v>845</v>
      </c>
      <c r="I39" s="225" t="s">
        <v>682</v>
      </c>
      <c r="J39" s="218" t="s">
        <v>683</v>
      </c>
      <c r="K39" s="218" t="s">
        <v>73</v>
      </c>
      <c r="L39" s="222">
        <v>45083</v>
      </c>
      <c r="M39" s="218" t="s">
        <v>834</v>
      </c>
      <c r="N39" s="218" t="s">
        <v>803</v>
      </c>
      <c r="O39" s="213">
        <v>5430</v>
      </c>
      <c r="P39" s="213"/>
      <c r="Q39" s="213"/>
      <c r="R39" s="220"/>
      <c r="S39" s="221"/>
      <c r="T39" s="31"/>
      <c r="U39" s="31"/>
      <c r="V39" s="31"/>
      <c r="W39" s="31"/>
      <c r="X39" s="31"/>
      <c r="Y39" s="31"/>
      <c r="Z39" s="31"/>
      <c r="AA39" s="31"/>
      <c r="AB39" s="31"/>
      <c r="AC39" s="31"/>
      <c r="AD39" s="31"/>
      <c r="AE39" s="31"/>
      <c r="AF39" s="31"/>
      <c r="AG39" s="31"/>
      <c r="AH39" s="31"/>
      <c r="AI39" s="31"/>
      <c r="AJ39" s="31"/>
      <c r="AK39" s="31"/>
    </row>
    <row r="40" spans="1:37" ht="15.6">
      <c r="A40" s="213">
        <v>39</v>
      </c>
      <c r="B40" s="214" t="s">
        <v>482</v>
      </c>
      <c r="C40" s="215" t="s">
        <v>846</v>
      </c>
      <c r="D40" s="216" t="s">
        <v>847</v>
      </c>
      <c r="E40" s="216" t="s">
        <v>848</v>
      </c>
      <c r="F40" s="216"/>
      <c r="G40" s="232" t="s">
        <v>849</v>
      </c>
      <c r="H40" s="232" t="s">
        <v>850</v>
      </c>
      <c r="I40" s="213" t="s">
        <v>682</v>
      </c>
      <c r="J40" s="218" t="s">
        <v>683</v>
      </c>
      <c r="K40" s="218" t="s">
        <v>73</v>
      </c>
      <c r="L40" s="222">
        <v>45110</v>
      </c>
      <c r="M40" s="218" t="s">
        <v>834</v>
      </c>
      <c r="N40" s="218" t="s">
        <v>834</v>
      </c>
      <c r="O40" s="213">
        <v>5430</v>
      </c>
      <c r="P40" s="213"/>
      <c r="Q40" s="213"/>
      <c r="R40" s="220"/>
      <c r="S40" s="221"/>
      <c r="T40" s="31"/>
      <c r="U40" s="31"/>
      <c r="V40" s="31"/>
      <c r="W40" s="31"/>
      <c r="X40" s="31"/>
      <c r="Y40" s="31"/>
      <c r="Z40" s="31"/>
      <c r="AA40" s="31"/>
      <c r="AB40" s="31"/>
      <c r="AC40" s="31"/>
      <c r="AD40" s="31"/>
      <c r="AE40" s="31"/>
      <c r="AF40" s="31"/>
      <c r="AG40" s="31"/>
      <c r="AH40" s="31"/>
      <c r="AI40" s="31"/>
      <c r="AJ40" s="31"/>
      <c r="AK40" s="31"/>
    </row>
    <row r="41" spans="1:37" ht="15.6">
      <c r="A41" s="213">
        <v>40</v>
      </c>
      <c r="B41" s="214" t="s">
        <v>180</v>
      </c>
      <c r="C41" s="215" t="s">
        <v>851</v>
      </c>
      <c r="D41" s="216" t="s">
        <v>852</v>
      </c>
      <c r="E41" s="216" t="s">
        <v>853</v>
      </c>
      <c r="F41" s="216"/>
      <c r="G41" s="221" t="s">
        <v>854</v>
      </c>
      <c r="H41" s="221" t="s">
        <v>855</v>
      </c>
      <c r="I41" s="225" t="s">
        <v>653</v>
      </c>
      <c r="J41" s="218" t="s">
        <v>683</v>
      </c>
      <c r="K41" s="218" t="s">
        <v>73</v>
      </c>
      <c r="L41" s="234">
        <v>45139</v>
      </c>
      <c r="M41" s="218" t="s">
        <v>654</v>
      </c>
      <c r="N41" s="218" t="s">
        <v>834</v>
      </c>
      <c r="O41" s="213" t="s">
        <v>856</v>
      </c>
      <c r="P41" s="213"/>
      <c r="Q41" s="213"/>
      <c r="R41" s="220"/>
      <c r="S41" s="221"/>
      <c r="T41" s="31"/>
      <c r="U41" s="31"/>
      <c r="V41" s="31"/>
      <c r="W41" s="31"/>
      <c r="X41" s="31"/>
      <c r="Y41" s="31"/>
      <c r="Z41" s="31"/>
      <c r="AA41" s="31"/>
      <c r="AB41" s="31"/>
      <c r="AC41" s="31"/>
      <c r="AD41" s="31"/>
      <c r="AE41" s="31"/>
      <c r="AF41" s="31"/>
      <c r="AG41" s="31"/>
      <c r="AH41" s="31"/>
      <c r="AI41" s="31"/>
      <c r="AJ41" s="31"/>
      <c r="AK41" s="31"/>
    </row>
    <row r="42" spans="1:37" ht="15.6">
      <c r="A42" s="213">
        <v>41</v>
      </c>
      <c r="B42" s="214" t="s">
        <v>469</v>
      </c>
      <c r="C42" s="215" t="s">
        <v>857</v>
      </c>
      <c r="D42" s="216" t="s">
        <v>858</v>
      </c>
      <c r="E42" s="216" t="s">
        <v>859</v>
      </c>
      <c r="F42" s="216"/>
      <c r="G42" s="221" t="s">
        <v>844</v>
      </c>
      <c r="H42" s="221" t="s">
        <v>860</v>
      </c>
      <c r="I42" s="225" t="s">
        <v>682</v>
      </c>
      <c r="J42" s="218" t="s">
        <v>683</v>
      </c>
      <c r="K42" s="218" t="s">
        <v>73</v>
      </c>
      <c r="L42" s="234">
        <v>45146</v>
      </c>
      <c r="M42" s="218" t="s">
        <v>834</v>
      </c>
      <c r="N42" s="213" t="s">
        <v>654</v>
      </c>
      <c r="O42" s="213"/>
      <c r="P42" s="213"/>
      <c r="Q42" s="213"/>
      <c r="R42" s="233" t="s">
        <v>861</v>
      </c>
      <c r="S42" s="221"/>
      <c r="T42" s="31"/>
      <c r="U42" s="31"/>
      <c r="V42" s="31"/>
      <c r="W42" s="31"/>
      <c r="X42" s="31"/>
      <c r="Y42" s="31"/>
      <c r="Z42" s="31"/>
      <c r="AA42" s="31"/>
      <c r="AB42" s="31"/>
      <c r="AC42" s="31"/>
      <c r="AD42" s="31"/>
      <c r="AE42" s="31"/>
      <c r="AF42" s="31"/>
      <c r="AG42" s="31"/>
      <c r="AH42" s="31"/>
      <c r="AI42" s="31"/>
      <c r="AJ42" s="31"/>
      <c r="AK42" s="31"/>
    </row>
    <row r="43" spans="1:37" ht="15.6">
      <c r="A43" s="213">
        <v>42</v>
      </c>
      <c r="B43" s="214" t="s">
        <v>605</v>
      </c>
      <c r="C43" s="215" t="s">
        <v>862</v>
      </c>
      <c r="D43" s="216" t="s">
        <v>863</v>
      </c>
      <c r="E43" s="216" t="s">
        <v>864</v>
      </c>
      <c r="F43" s="216"/>
      <c r="G43" s="232" t="s">
        <v>658</v>
      </c>
      <c r="H43" s="217" t="s">
        <v>865</v>
      </c>
      <c r="I43" s="225" t="s">
        <v>682</v>
      </c>
      <c r="J43" s="218" t="s">
        <v>683</v>
      </c>
      <c r="K43" s="218" t="s">
        <v>73</v>
      </c>
      <c r="L43" s="222">
        <v>45174</v>
      </c>
      <c r="M43" s="218" t="s">
        <v>834</v>
      </c>
      <c r="N43" s="213" t="s">
        <v>654</v>
      </c>
      <c r="O43" s="213">
        <v>5430</v>
      </c>
      <c r="P43" s="213" t="s">
        <v>803</v>
      </c>
      <c r="Q43" s="213" t="s">
        <v>803</v>
      </c>
      <c r="R43" s="220" t="s">
        <v>866</v>
      </c>
      <c r="S43" s="221" t="s">
        <v>865</v>
      </c>
      <c r="T43" s="31"/>
      <c r="U43" s="31"/>
      <c r="V43" s="31"/>
      <c r="W43" s="31"/>
      <c r="X43" s="31"/>
      <c r="Y43" s="31"/>
      <c r="Z43" s="31"/>
      <c r="AA43" s="31"/>
      <c r="AB43" s="31"/>
      <c r="AC43" s="31"/>
      <c r="AD43" s="31"/>
      <c r="AE43" s="31"/>
      <c r="AF43" s="31"/>
      <c r="AG43" s="31"/>
      <c r="AH43" s="31"/>
      <c r="AI43" s="31"/>
      <c r="AJ43" s="31"/>
      <c r="AK43" s="31"/>
    </row>
    <row r="44" spans="1:37" ht="15.75" customHeight="1">
      <c r="A44" s="213">
        <v>43</v>
      </c>
      <c r="B44" s="214" t="s">
        <v>207</v>
      </c>
      <c r="C44" s="215" t="s">
        <v>867</v>
      </c>
      <c r="D44" s="221" t="s">
        <v>868</v>
      </c>
      <c r="E44" s="216" t="s">
        <v>869</v>
      </c>
      <c r="F44" s="221"/>
      <c r="G44" s="216" t="s">
        <v>870</v>
      </c>
      <c r="H44" s="217" t="s">
        <v>711</v>
      </c>
      <c r="I44" s="226" t="s">
        <v>682</v>
      </c>
      <c r="J44" s="218" t="s">
        <v>683</v>
      </c>
      <c r="K44" s="218" t="s">
        <v>73</v>
      </c>
      <c r="L44" s="234">
        <v>45214</v>
      </c>
      <c r="M44" s="226"/>
      <c r="N44" s="218"/>
      <c r="O44" s="213"/>
      <c r="P44" s="213"/>
      <c r="Q44" s="213"/>
      <c r="R44" s="220"/>
      <c r="S44" s="221"/>
      <c r="T44" s="31"/>
      <c r="U44" s="31"/>
      <c r="V44" s="31"/>
      <c r="W44" s="31"/>
      <c r="X44" s="31"/>
      <c r="Y44" s="31"/>
      <c r="Z44" s="31"/>
      <c r="AA44" s="31"/>
      <c r="AB44" s="31"/>
      <c r="AC44" s="31"/>
      <c r="AD44" s="31"/>
      <c r="AE44" s="31"/>
      <c r="AF44" s="31"/>
      <c r="AG44" s="31"/>
      <c r="AH44" s="31"/>
      <c r="AI44" s="31"/>
      <c r="AJ44" s="31"/>
      <c r="AK44" s="31"/>
    </row>
    <row r="45" spans="1:37" ht="15.6">
      <c r="A45" s="213">
        <v>44</v>
      </c>
      <c r="B45" s="214" t="s">
        <v>446</v>
      </c>
      <c r="C45" s="215" t="s">
        <v>871</v>
      </c>
      <c r="D45" s="235" t="s">
        <v>872</v>
      </c>
      <c r="E45" s="216" t="s">
        <v>873</v>
      </c>
      <c r="F45" s="221"/>
      <c r="G45" s="235" t="s">
        <v>56</v>
      </c>
      <c r="H45" s="235" t="s">
        <v>874</v>
      </c>
      <c r="I45" s="236" t="s">
        <v>682</v>
      </c>
      <c r="J45" s="218" t="s">
        <v>683</v>
      </c>
      <c r="K45" s="218" t="s">
        <v>73</v>
      </c>
      <c r="L45" s="237">
        <v>45218</v>
      </c>
      <c r="M45" s="218" t="s">
        <v>653</v>
      </c>
      <c r="N45" s="213" t="s">
        <v>654</v>
      </c>
      <c r="O45" s="213">
        <v>7490</v>
      </c>
      <c r="P45" s="213"/>
      <c r="Q45" s="213"/>
      <c r="R45" s="220" t="s">
        <v>875</v>
      </c>
      <c r="S45" s="221"/>
      <c r="T45" s="31"/>
      <c r="U45" s="31"/>
      <c r="V45" s="31"/>
      <c r="W45" s="31"/>
      <c r="X45" s="31"/>
      <c r="Y45" s="31"/>
      <c r="Z45" s="31"/>
      <c r="AA45" s="31"/>
      <c r="AB45" s="31"/>
      <c r="AC45" s="31"/>
      <c r="AD45" s="31"/>
      <c r="AE45" s="31"/>
      <c r="AF45" s="31"/>
      <c r="AG45" s="31"/>
      <c r="AH45" s="31"/>
      <c r="AI45" s="31"/>
      <c r="AJ45" s="31"/>
      <c r="AK45" s="31"/>
    </row>
    <row r="46" spans="1:37" ht="15.6">
      <c r="A46" s="213">
        <v>45</v>
      </c>
      <c r="B46" s="214" t="s">
        <v>271</v>
      </c>
      <c r="C46" s="215" t="s">
        <v>876</v>
      </c>
      <c r="D46" s="235" t="s">
        <v>877</v>
      </c>
      <c r="E46" s="216" t="s">
        <v>878</v>
      </c>
      <c r="F46" s="221"/>
      <c r="G46" s="238" t="s">
        <v>879</v>
      </c>
      <c r="H46" s="235" t="s">
        <v>880</v>
      </c>
      <c r="I46" s="236" t="s">
        <v>682</v>
      </c>
      <c r="J46" s="218" t="s">
        <v>683</v>
      </c>
      <c r="K46" s="218" t="s">
        <v>73</v>
      </c>
      <c r="L46" s="237">
        <v>45219</v>
      </c>
      <c r="M46" s="218" t="s">
        <v>803</v>
      </c>
      <c r="N46" s="213" t="s">
        <v>654</v>
      </c>
      <c r="O46" s="213" t="s">
        <v>881</v>
      </c>
      <c r="P46" s="213"/>
      <c r="Q46" s="213" t="s">
        <v>803</v>
      </c>
      <c r="R46" s="220" t="s">
        <v>882</v>
      </c>
      <c r="S46" s="221"/>
      <c r="T46" s="31"/>
      <c r="U46" s="31"/>
      <c r="V46" s="31"/>
      <c r="W46" s="31"/>
      <c r="X46" s="31"/>
      <c r="Y46" s="31"/>
      <c r="Z46" s="31"/>
      <c r="AA46" s="31"/>
      <c r="AB46" s="31"/>
      <c r="AC46" s="31"/>
      <c r="AD46" s="31"/>
      <c r="AE46" s="31"/>
      <c r="AF46" s="31"/>
      <c r="AG46" s="31"/>
      <c r="AH46" s="31"/>
      <c r="AI46" s="31"/>
      <c r="AJ46" s="31"/>
      <c r="AK46" s="31"/>
    </row>
    <row r="47" spans="1:37" ht="15.75" customHeight="1">
      <c r="A47" s="213">
        <v>46</v>
      </c>
      <c r="B47" s="214" t="s">
        <v>337</v>
      </c>
      <c r="C47" s="215" t="s">
        <v>883</v>
      </c>
      <c r="D47" s="221" t="s">
        <v>884</v>
      </c>
      <c r="E47" s="216" t="s">
        <v>885</v>
      </c>
      <c r="F47" s="216" t="s">
        <v>886</v>
      </c>
      <c r="G47" s="216"/>
      <c r="H47" s="217" t="s">
        <v>887</v>
      </c>
      <c r="I47" s="213" t="s">
        <v>682</v>
      </c>
      <c r="J47" s="218" t="s">
        <v>683</v>
      </c>
      <c r="K47" s="218" t="s">
        <v>73</v>
      </c>
      <c r="L47" s="234"/>
      <c r="M47" s="218"/>
      <c r="N47" s="218"/>
      <c r="O47" s="213"/>
      <c r="P47" s="213"/>
      <c r="Q47" s="213" t="s">
        <v>803</v>
      </c>
      <c r="R47" s="220" t="s">
        <v>888</v>
      </c>
      <c r="S47" s="221"/>
      <c r="T47" s="31"/>
      <c r="U47" s="31"/>
      <c r="V47" s="31"/>
      <c r="W47" s="31"/>
      <c r="X47" s="31"/>
      <c r="Y47" s="31"/>
      <c r="Z47" s="31"/>
      <c r="AA47" s="31"/>
      <c r="AB47" s="31"/>
      <c r="AC47" s="31"/>
      <c r="AD47" s="31"/>
      <c r="AE47" s="31"/>
      <c r="AF47" s="31"/>
      <c r="AG47" s="31"/>
      <c r="AH47" s="31"/>
      <c r="AI47" s="31"/>
      <c r="AJ47" s="31"/>
      <c r="AK47" s="31"/>
    </row>
    <row r="48" spans="1:37" ht="15.75" customHeight="1">
      <c r="A48" s="213">
        <v>47</v>
      </c>
      <c r="B48" s="214" t="s">
        <v>330</v>
      </c>
      <c r="C48" s="239" t="s">
        <v>889</v>
      </c>
      <c r="D48" s="240" t="s">
        <v>890</v>
      </c>
      <c r="E48" s="221" t="s">
        <v>891</v>
      </c>
      <c r="F48" s="221"/>
      <c r="G48" s="241" t="s">
        <v>892</v>
      </c>
      <c r="H48" s="241" t="s">
        <v>850</v>
      </c>
      <c r="I48" s="213" t="s">
        <v>682</v>
      </c>
      <c r="J48" s="218" t="s">
        <v>683</v>
      </c>
      <c r="K48" s="218" t="s">
        <v>73</v>
      </c>
      <c r="L48" s="234">
        <v>45229</v>
      </c>
      <c r="M48" s="218"/>
      <c r="N48" s="213" t="s">
        <v>654</v>
      </c>
      <c r="O48" s="213"/>
      <c r="P48" s="213"/>
      <c r="Q48" s="213"/>
      <c r="R48" s="220"/>
      <c r="S48" s="221"/>
      <c r="T48" s="31"/>
      <c r="U48" s="31"/>
      <c r="V48" s="31"/>
      <c r="W48" s="31"/>
      <c r="X48" s="31"/>
      <c r="Y48" s="31"/>
      <c r="Z48" s="31"/>
      <c r="AA48" s="31"/>
      <c r="AB48" s="31"/>
      <c r="AC48" s="31"/>
      <c r="AD48" s="31"/>
      <c r="AE48" s="31"/>
      <c r="AF48" s="31"/>
      <c r="AG48" s="31"/>
      <c r="AH48" s="31"/>
      <c r="AI48" s="31"/>
      <c r="AJ48" s="31"/>
      <c r="AK48" s="31"/>
    </row>
    <row r="49" spans="1:37" ht="15.75" customHeight="1">
      <c r="A49" s="213">
        <v>48</v>
      </c>
      <c r="B49" s="242" t="s">
        <v>350</v>
      </c>
      <c r="C49" s="239" t="s">
        <v>893</v>
      </c>
      <c r="D49" s="221" t="s">
        <v>894</v>
      </c>
      <c r="E49" s="221" t="s">
        <v>895</v>
      </c>
      <c r="F49" s="221"/>
      <c r="G49" s="221" t="s">
        <v>896</v>
      </c>
      <c r="H49" s="217" t="s">
        <v>897</v>
      </c>
      <c r="I49" s="213" t="s">
        <v>682</v>
      </c>
      <c r="J49" s="218" t="s">
        <v>683</v>
      </c>
      <c r="K49" s="218" t="s">
        <v>73</v>
      </c>
      <c r="L49" s="234">
        <v>45243</v>
      </c>
      <c r="M49" s="218" t="s">
        <v>898</v>
      </c>
      <c r="N49" s="218" t="s">
        <v>899</v>
      </c>
      <c r="O49" s="213">
        <v>5420</v>
      </c>
      <c r="P49" s="213"/>
      <c r="Q49" s="213"/>
      <c r="R49" s="220" t="s">
        <v>900</v>
      </c>
      <c r="S49" s="221"/>
      <c r="T49" s="31"/>
      <c r="U49" s="31"/>
      <c r="V49" s="31"/>
      <c r="W49" s="31"/>
      <c r="X49" s="31"/>
      <c r="Y49" s="31"/>
      <c r="Z49" s="31"/>
      <c r="AA49" s="31"/>
      <c r="AB49" s="31"/>
      <c r="AC49" s="31"/>
      <c r="AD49" s="31"/>
      <c r="AE49" s="31"/>
      <c r="AF49" s="31"/>
      <c r="AG49" s="31"/>
      <c r="AH49" s="31"/>
      <c r="AI49" s="31"/>
      <c r="AJ49" s="31"/>
      <c r="AK49" s="31"/>
    </row>
    <row r="50" spans="1:37" ht="15.75" customHeight="1">
      <c r="A50" s="213">
        <v>49</v>
      </c>
      <c r="B50" s="214" t="s">
        <v>414</v>
      </c>
      <c r="C50" s="239" t="s">
        <v>901</v>
      </c>
      <c r="D50" s="221" t="s">
        <v>902</v>
      </c>
      <c r="E50" s="221" t="s">
        <v>903</v>
      </c>
      <c r="F50" s="221"/>
      <c r="G50" s="221" t="s">
        <v>904</v>
      </c>
      <c r="H50" s="217" t="s">
        <v>905</v>
      </c>
      <c r="I50" s="213" t="s">
        <v>682</v>
      </c>
      <c r="J50" s="218" t="s">
        <v>683</v>
      </c>
      <c r="K50" s="218" t="s">
        <v>73</v>
      </c>
      <c r="L50" s="234">
        <v>45245</v>
      </c>
      <c r="M50" s="218" t="s">
        <v>898</v>
      </c>
      <c r="N50" s="218" t="s">
        <v>899</v>
      </c>
      <c r="O50" s="213">
        <v>5430</v>
      </c>
      <c r="P50" s="213"/>
      <c r="Q50" s="213"/>
      <c r="R50" s="220"/>
      <c r="S50" s="221"/>
      <c r="T50" s="31"/>
      <c r="U50" s="31"/>
      <c r="V50" s="31"/>
      <c r="W50" s="31"/>
      <c r="X50" s="31"/>
      <c r="Y50" s="31"/>
      <c r="Z50" s="31"/>
      <c r="AA50" s="31"/>
      <c r="AB50" s="31"/>
      <c r="AC50" s="31"/>
      <c r="AD50" s="31"/>
      <c r="AE50" s="31"/>
      <c r="AF50" s="31"/>
      <c r="AG50" s="31"/>
      <c r="AH50" s="31"/>
      <c r="AI50" s="31"/>
      <c r="AJ50" s="31"/>
      <c r="AK50" s="31"/>
    </row>
    <row r="51" spans="1:37" ht="15.75" customHeight="1">
      <c r="A51" s="213">
        <v>50</v>
      </c>
      <c r="B51" s="214" t="s">
        <v>381</v>
      </c>
      <c r="C51" s="239" t="s">
        <v>906</v>
      </c>
      <c r="D51" s="221" t="s">
        <v>907</v>
      </c>
      <c r="E51" s="221" t="s">
        <v>908</v>
      </c>
      <c r="F51" s="221"/>
      <c r="G51" s="221" t="s">
        <v>663</v>
      </c>
      <c r="H51" s="217" t="s">
        <v>909</v>
      </c>
      <c r="I51" s="213" t="s">
        <v>682</v>
      </c>
      <c r="J51" s="218" t="s">
        <v>683</v>
      </c>
      <c r="K51" s="218" t="s">
        <v>73</v>
      </c>
      <c r="L51" s="234">
        <v>45273</v>
      </c>
      <c r="M51" s="218" t="s">
        <v>898</v>
      </c>
      <c r="N51" s="218" t="s">
        <v>899</v>
      </c>
      <c r="O51" s="213">
        <v>5430</v>
      </c>
      <c r="P51" s="213"/>
      <c r="Q51" s="213"/>
      <c r="R51" s="220" t="s">
        <v>910</v>
      </c>
      <c r="S51" s="221"/>
      <c r="T51" s="31"/>
      <c r="U51" s="31"/>
      <c r="V51" s="31"/>
      <c r="W51" s="31"/>
      <c r="X51" s="31"/>
      <c r="Y51" s="31"/>
      <c r="Z51" s="31"/>
      <c r="AA51" s="31"/>
      <c r="AB51" s="31"/>
      <c r="AC51" s="31"/>
      <c r="AD51" s="31"/>
      <c r="AE51" s="31"/>
      <c r="AF51" s="31"/>
      <c r="AG51" s="31"/>
      <c r="AH51" s="31"/>
      <c r="AI51" s="31"/>
      <c r="AJ51" s="31"/>
      <c r="AK51" s="31"/>
    </row>
    <row r="52" spans="1:37" ht="15.75" customHeight="1">
      <c r="A52" s="213">
        <v>51</v>
      </c>
      <c r="B52" s="214" t="s">
        <v>456</v>
      </c>
      <c r="C52" s="239" t="s">
        <v>911</v>
      </c>
      <c r="D52" s="221" t="s">
        <v>912</v>
      </c>
      <c r="E52" s="221" t="s">
        <v>457</v>
      </c>
      <c r="F52" s="221" t="s">
        <v>913</v>
      </c>
      <c r="G52" s="221" t="s">
        <v>23</v>
      </c>
      <c r="H52" s="221" t="s">
        <v>914</v>
      </c>
      <c r="I52" s="213" t="s">
        <v>682</v>
      </c>
      <c r="J52" s="218" t="s">
        <v>683</v>
      </c>
      <c r="K52" s="218" t="s">
        <v>73</v>
      </c>
      <c r="L52" s="234">
        <v>45293</v>
      </c>
      <c r="M52" s="218" t="s">
        <v>803</v>
      </c>
      <c r="N52" s="218"/>
      <c r="O52" s="213">
        <v>5430</v>
      </c>
      <c r="P52" s="213"/>
      <c r="Q52" s="213"/>
      <c r="R52" s="220" t="s">
        <v>915</v>
      </c>
      <c r="S52" s="221"/>
      <c r="T52" s="31"/>
      <c r="U52" s="31"/>
      <c r="V52" s="31"/>
      <c r="W52" s="31"/>
      <c r="X52" s="31"/>
      <c r="Y52" s="31"/>
      <c r="Z52" s="31"/>
      <c r="AA52" s="31"/>
      <c r="AB52" s="31"/>
      <c r="AC52" s="31"/>
      <c r="AD52" s="31"/>
      <c r="AE52" s="31"/>
      <c r="AF52" s="31"/>
      <c r="AG52" s="31"/>
      <c r="AH52" s="31"/>
      <c r="AI52" s="31"/>
      <c r="AJ52" s="31"/>
      <c r="AK52" s="31"/>
    </row>
    <row r="53" spans="1:37" ht="15.75" customHeight="1">
      <c r="A53" s="213">
        <v>52</v>
      </c>
      <c r="B53" s="214" t="s">
        <v>396</v>
      </c>
      <c r="C53" s="239" t="s">
        <v>916</v>
      </c>
      <c r="D53" s="221" t="s">
        <v>917</v>
      </c>
      <c r="E53" s="221" t="s">
        <v>918</v>
      </c>
      <c r="F53" s="221"/>
      <c r="G53" s="221" t="s">
        <v>839</v>
      </c>
      <c r="H53" s="221" t="s">
        <v>761</v>
      </c>
      <c r="I53" s="213" t="s">
        <v>682</v>
      </c>
      <c r="J53" s="218" t="s">
        <v>683</v>
      </c>
      <c r="K53" s="218" t="s">
        <v>73</v>
      </c>
      <c r="L53" s="234">
        <v>45376</v>
      </c>
      <c r="M53" s="218" t="s">
        <v>834</v>
      </c>
      <c r="N53" s="218"/>
      <c r="O53" s="213"/>
      <c r="P53" s="213"/>
      <c r="Q53" s="213"/>
      <c r="R53" s="220" t="s">
        <v>919</v>
      </c>
      <c r="S53" s="221"/>
      <c r="T53" s="31"/>
      <c r="U53" s="31"/>
      <c r="V53" s="31"/>
      <c r="W53" s="31"/>
      <c r="X53" s="31"/>
      <c r="Y53" s="31"/>
      <c r="Z53" s="31"/>
      <c r="AA53" s="31"/>
      <c r="AB53" s="31"/>
      <c r="AC53" s="31"/>
      <c r="AD53" s="31"/>
      <c r="AE53" s="31"/>
      <c r="AF53" s="31"/>
      <c r="AG53" s="31"/>
      <c r="AH53" s="31"/>
      <c r="AI53" s="31"/>
      <c r="AJ53" s="31"/>
      <c r="AK53" s="31"/>
    </row>
    <row r="54" spans="1:37" ht="15.75" customHeight="1">
      <c r="A54" s="213">
        <v>53</v>
      </c>
      <c r="B54" s="243" t="s">
        <v>232</v>
      </c>
      <c r="C54" s="239" t="s">
        <v>920</v>
      </c>
      <c r="D54" s="221" t="s">
        <v>921</v>
      </c>
      <c r="E54" s="221" t="s">
        <v>922</v>
      </c>
      <c r="F54" s="221"/>
      <c r="G54" s="221" t="s">
        <v>662</v>
      </c>
      <c r="H54" s="217" t="s">
        <v>923</v>
      </c>
      <c r="I54" s="213" t="s">
        <v>924</v>
      </c>
      <c r="J54" s="218" t="s">
        <v>683</v>
      </c>
      <c r="K54" s="218" t="s">
        <v>73</v>
      </c>
      <c r="L54" s="234">
        <v>45384</v>
      </c>
      <c r="M54" s="218" t="s">
        <v>834</v>
      </c>
      <c r="N54" s="218"/>
      <c r="O54" s="213"/>
      <c r="P54" s="213"/>
      <c r="Q54" s="213"/>
      <c r="R54" s="220"/>
      <c r="S54" s="221"/>
      <c r="T54" s="31"/>
      <c r="U54" s="31"/>
      <c r="V54" s="31"/>
      <c r="W54" s="31"/>
      <c r="X54" s="31"/>
      <c r="Y54" s="31"/>
      <c r="Z54" s="31"/>
      <c r="AA54" s="31"/>
      <c r="AB54" s="31"/>
      <c r="AC54" s="31"/>
      <c r="AD54" s="31"/>
      <c r="AE54" s="31"/>
      <c r="AF54" s="31"/>
      <c r="AG54" s="31"/>
      <c r="AH54" s="31"/>
      <c r="AI54" s="31"/>
      <c r="AJ54" s="31"/>
      <c r="AK54" s="31"/>
    </row>
    <row r="55" spans="1:37" ht="15.75" customHeight="1">
      <c r="A55" s="213">
        <v>54</v>
      </c>
      <c r="B55" s="27"/>
      <c r="C55" s="239" t="s">
        <v>925</v>
      </c>
      <c r="D55" s="221" t="s">
        <v>926</v>
      </c>
      <c r="E55" s="221" t="s">
        <v>927</v>
      </c>
      <c r="F55" s="221" t="s">
        <v>928</v>
      </c>
      <c r="G55" s="221" t="s">
        <v>54</v>
      </c>
      <c r="H55" s="217" t="s">
        <v>54</v>
      </c>
      <c r="I55" s="213" t="s">
        <v>924</v>
      </c>
      <c r="J55" s="218" t="s">
        <v>683</v>
      </c>
      <c r="K55" s="218" t="s">
        <v>73</v>
      </c>
      <c r="L55" s="234">
        <v>45448</v>
      </c>
      <c r="M55" s="218" t="s">
        <v>803</v>
      </c>
      <c r="N55" s="218"/>
      <c r="O55" s="213"/>
      <c r="P55" s="213"/>
      <c r="Q55" s="213"/>
      <c r="R55" s="220"/>
      <c r="S55" s="221"/>
      <c r="T55" s="31"/>
      <c r="U55" s="31"/>
      <c r="V55" s="31"/>
      <c r="W55" s="31"/>
      <c r="X55" s="31"/>
      <c r="Y55" s="31"/>
      <c r="Z55" s="31"/>
      <c r="AA55" s="31"/>
      <c r="AB55" s="31"/>
      <c r="AC55" s="31"/>
      <c r="AD55" s="31"/>
      <c r="AE55" s="31"/>
      <c r="AF55" s="31"/>
      <c r="AG55" s="31"/>
      <c r="AH55" s="31"/>
      <c r="AI55" s="31"/>
      <c r="AJ55" s="31"/>
      <c r="AK55" s="31"/>
    </row>
    <row r="56" spans="1:37" ht="15.75" customHeight="1">
      <c r="A56" s="213">
        <v>55</v>
      </c>
      <c r="B56" s="244" t="s">
        <v>446</v>
      </c>
      <c r="C56" s="239" t="s">
        <v>929</v>
      </c>
      <c r="D56" s="221" t="s">
        <v>930</v>
      </c>
      <c r="E56" s="221" t="s">
        <v>931</v>
      </c>
      <c r="F56" s="221"/>
      <c r="G56" s="245" t="s">
        <v>663</v>
      </c>
      <c r="H56" s="245" t="s">
        <v>932</v>
      </c>
      <c r="I56" s="213" t="s">
        <v>682</v>
      </c>
      <c r="J56" s="218" t="s">
        <v>683</v>
      </c>
      <c r="K56" s="218" t="s">
        <v>73</v>
      </c>
      <c r="L56" s="234">
        <v>45467</v>
      </c>
      <c r="M56" s="218" t="s">
        <v>834</v>
      </c>
      <c r="N56" s="218"/>
      <c r="O56" s="213"/>
      <c r="P56" s="213"/>
      <c r="Q56" s="213"/>
      <c r="R56" s="220"/>
      <c r="S56" s="221"/>
      <c r="T56" s="31"/>
      <c r="U56" s="31"/>
      <c r="V56" s="31"/>
      <c r="W56" s="31"/>
      <c r="X56" s="31"/>
      <c r="Y56" s="31"/>
      <c r="Z56" s="31"/>
      <c r="AA56" s="31"/>
      <c r="AB56" s="31"/>
      <c r="AC56" s="31"/>
      <c r="AD56" s="31"/>
      <c r="AE56" s="31"/>
      <c r="AF56" s="31"/>
      <c r="AG56" s="31"/>
      <c r="AH56" s="31"/>
      <c r="AI56" s="31"/>
      <c r="AJ56" s="31"/>
      <c r="AK56" s="31"/>
    </row>
    <row r="57" spans="1:37" ht="15.75" customHeight="1">
      <c r="A57" s="213">
        <v>56</v>
      </c>
      <c r="B57" s="244" t="s">
        <v>99</v>
      </c>
      <c r="C57" s="239" t="s">
        <v>933</v>
      </c>
      <c r="D57" s="221" t="s">
        <v>934</v>
      </c>
      <c r="E57" s="221" t="s">
        <v>935</v>
      </c>
      <c r="F57" s="221"/>
      <c r="G57" s="221" t="s">
        <v>936</v>
      </c>
      <c r="H57" s="221" t="s">
        <v>937</v>
      </c>
      <c r="I57" s="213" t="s">
        <v>682</v>
      </c>
      <c r="J57" s="218" t="s">
        <v>683</v>
      </c>
      <c r="K57" s="218" t="s">
        <v>73</v>
      </c>
      <c r="L57" s="234">
        <v>45482</v>
      </c>
      <c r="M57" s="218" t="s">
        <v>834</v>
      </c>
      <c r="N57" s="221"/>
      <c r="O57" s="221"/>
      <c r="P57" s="221"/>
      <c r="Q57" s="221"/>
      <c r="R57" s="221"/>
      <c r="S57" s="221"/>
      <c r="T57" s="31"/>
      <c r="U57" s="31"/>
      <c r="V57" s="31"/>
      <c r="W57" s="31"/>
      <c r="X57" s="31"/>
      <c r="Y57" s="31"/>
      <c r="Z57" s="31"/>
      <c r="AA57" s="31"/>
      <c r="AB57" s="31"/>
      <c r="AC57" s="31"/>
      <c r="AD57" s="31"/>
      <c r="AE57" s="31"/>
      <c r="AF57" s="31"/>
      <c r="AG57" s="31"/>
      <c r="AH57" s="31"/>
      <c r="AI57" s="31"/>
      <c r="AJ57" s="31"/>
      <c r="AK57" s="31"/>
    </row>
    <row r="58" spans="1:37" ht="15.75" customHeight="1">
      <c r="A58" s="213">
        <v>57</v>
      </c>
      <c r="B58" s="214" t="s">
        <v>123</v>
      </c>
      <c r="C58" s="239" t="s">
        <v>938</v>
      </c>
      <c r="D58" s="221" t="s">
        <v>939</v>
      </c>
      <c r="E58" s="221" t="s">
        <v>940</v>
      </c>
      <c r="F58" s="221" t="s">
        <v>941</v>
      </c>
      <c r="G58" s="245" t="s">
        <v>663</v>
      </c>
      <c r="H58" s="246" t="s">
        <v>942</v>
      </c>
      <c r="I58" s="213" t="s">
        <v>682</v>
      </c>
      <c r="J58" s="218" t="s">
        <v>683</v>
      </c>
      <c r="K58" s="218" t="s">
        <v>73</v>
      </c>
      <c r="L58" s="234">
        <v>45509</v>
      </c>
      <c r="M58" s="218" t="s">
        <v>834</v>
      </c>
      <c r="N58" s="218"/>
      <c r="O58" s="213"/>
      <c r="P58" s="213"/>
      <c r="Q58" s="213"/>
      <c r="R58" s="220"/>
      <c r="S58" s="221"/>
      <c r="T58" s="31"/>
      <c r="U58" s="31"/>
      <c r="V58" s="31"/>
      <c r="W58" s="31"/>
      <c r="X58" s="31"/>
      <c r="Y58" s="31"/>
      <c r="Z58" s="31"/>
      <c r="AA58" s="31"/>
      <c r="AB58" s="31"/>
      <c r="AC58" s="31"/>
      <c r="AD58" s="31"/>
      <c r="AE58" s="31"/>
      <c r="AF58" s="31"/>
      <c r="AG58" s="31"/>
      <c r="AH58" s="31"/>
      <c r="AI58" s="31"/>
      <c r="AJ58" s="31"/>
      <c r="AK58" s="31"/>
    </row>
    <row r="59" spans="1:37" ht="15.75" customHeight="1">
      <c r="A59" s="213">
        <v>58</v>
      </c>
      <c r="B59" s="214" t="s">
        <v>289</v>
      </c>
      <c r="C59" s="239" t="s">
        <v>943</v>
      </c>
      <c r="D59" s="221" t="s">
        <v>944</v>
      </c>
      <c r="E59" s="221" t="s">
        <v>290</v>
      </c>
      <c r="F59" s="221"/>
      <c r="G59" s="221" t="s">
        <v>23</v>
      </c>
      <c r="H59" s="221" t="s">
        <v>945</v>
      </c>
      <c r="I59" s="213" t="s">
        <v>682</v>
      </c>
      <c r="J59" s="218" t="s">
        <v>683</v>
      </c>
      <c r="K59" s="218" t="s">
        <v>73</v>
      </c>
      <c r="L59" s="234">
        <v>45558</v>
      </c>
      <c r="M59" s="218" t="s">
        <v>834</v>
      </c>
      <c r="N59" s="218"/>
      <c r="O59" s="213"/>
      <c r="P59" s="213"/>
      <c r="Q59" s="213"/>
      <c r="R59" s="220"/>
      <c r="S59" s="221"/>
      <c r="T59" s="31"/>
      <c r="U59" s="31"/>
      <c r="V59" s="31"/>
      <c r="W59" s="31"/>
      <c r="X59" s="31"/>
      <c r="Y59" s="31"/>
      <c r="Z59" s="31"/>
      <c r="AA59" s="31"/>
      <c r="AB59" s="31"/>
      <c r="AC59" s="31"/>
      <c r="AD59" s="31"/>
      <c r="AE59" s="31"/>
      <c r="AF59" s="31"/>
      <c r="AG59" s="31"/>
      <c r="AH59" s="31"/>
      <c r="AI59" s="31"/>
      <c r="AJ59" s="31"/>
      <c r="AK59" s="31"/>
    </row>
    <row r="60" spans="1:37" ht="15.75" customHeight="1">
      <c r="A60" s="213">
        <v>59</v>
      </c>
      <c r="B60" s="213" t="s">
        <v>374</v>
      </c>
      <c r="C60" s="239" t="s">
        <v>946</v>
      </c>
      <c r="D60" s="221" t="s">
        <v>947</v>
      </c>
      <c r="E60" s="221" t="s">
        <v>948</v>
      </c>
      <c r="F60" s="221"/>
      <c r="G60" s="221" t="s">
        <v>949</v>
      </c>
      <c r="H60" s="221" t="s">
        <v>375</v>
      </c>
      <c r="I60" s="213" t="s">
        <v>682</v>
      </c>
      <c r="J60" s="218" t="s">
        <v>683</v>
      </c>
      <c r="K60" s="218" t="s">
        <v>73</v>
      </c>
      <c r="L60" s="234">
        <v>45796</v>
      </c>
      <c r="M60" s="218" t="s">
        <v>834</v>
      </c>
      <c r="N60" s="221"/>
      <c r="O60" s="221"/>
      <c r="P60" s="221"/>
      <c r="Q60" s="221"/>
      <c r="R60" s="221" t="s">
        <v>950</v>
      </c>
      <c r="S60" s="221"/>
      <c r="T60" s="31"/>
      <c r="U60" s="31"/>
      <c r="V60" s="31"/>
      <c r="W60" s="31"/>
      <c r="X60" s="31"/>
      <c r="Y60" s="31"/>
      <c r="Z60" s="31"/>
      <c r="AA60" s="31"/>
      <c r="AB60" s="31"/>
      <c r="AC60" s="31"/>
      <c r="AD60" s="31"/>
      <c r="AE60" s="31"/>
      <c r="AF60" s="31"/>
      <c r="AG60" s="31"/>
      <c r="AH60" s="31"/>
      <c r="AI60" s="31"/>
      <c r="AJ60" s="31"/>
      <c r="AK60" s="31"/>
    </row>
    <row r="61" spans="1:37" ht="15.75" customHeight="1">
      <c r="A61" s="213">
        <v>61</v>
      </c>
      <c r="B61" s="213" t="s">
        <v>118</v>
      </c>
      <c r="C61" s="239" t="s">
        <v>951</v>
      </c>
      <c r="D61" s="221" t="s">
        <v>952</v>
      </c>
      <c r="E61" s="221" t="s">
        <v>952</v>
      </c>
      <c r="F61" s="221"/>
      <c r="G61" s="221" t="s">
        <v>23</v>
      </c>
      <c r="H61" s="217" t="s">
        <v>953</v>
      </c>
      <c r="I61" s="213" t="s">
        <v>682</v>
      </c>
      <c r="J61" s="218" t="s">
        <v>683</v>
      </c>
      <c r="K61" s="218" t="s">
        <v>73</v>
      </c>
      <c r="L61" s="234">
        <v>45796</v>
      </c>
      <c r="M61" s="218" t="s">
        <v>834</v>
      </c>
      <c r="N61" s="218"/>
      <c r="O61" s="213"/>
      <c r="P61" s="213"/>
      <c r="Q61" s="213"/>
      <c r="R61" s="220"/>
      <c r="S61" s="221"/>
      <c r="T61" s="31"/>
      <c r="U61" s="31"/>
      <c r="V61" s="31"/>
      <c r="W61" s="31"/>
      <c r="X61" s="31"/>
      <c r="Y61" s="31"/>
      <c r="Z61" s="31"/>
      <c r="AA61" s="31"/>
      <c r="AB61" s="31"/>
      <c r="AC61" s="31"/>
      <c r="AD61" s="31"/>
      <c r="AE61" s="31"/>
      <c r="AF61" s="31"/>
      <c r="AG61" s="31"/>
      <c r="AH61" s="31"/>
      <c r="AI61" s="31"/>
      <c r="AJ61" s="31"/>
      <c r="AK61" s="31"/>
    </row>
    <row r="62" spans="1:37" ht="15.75" customHeight="1">
      <c r="A62" s="213">
        <v>62</v>
      </c>
      <c r="B62" s="213" t="s">
        <v>547</v>
      </c>
      <c r="C62" s="239" t="s">
        <v>954</v>
      </c>
      <c r="D62" s="221" t="s">
        <v>955</v>
      </c>
      <c r="E62" s="221" t="s">
        <v>955</v>
      </c>
      <c r="F62" s="221"/>
      <c r="G62" s="232" t="s">
        <v>827</v>
      </c>
      <c r="H62" s="217" t="s">
        <v>953</v>
      </c>
      <c r="I62" s="213" t="s">
        <v>682</v>
      </c>
      <c r="J62" s="218" t="s">
        <v>683</v>
      </c>
      <c r="K62" s="218" t="s">
        <v>73</v>
      </c>
      <c r="L62" s="234">
        <v>45796</v>
      </c>
      <c r="M62" s="218" t="s">
        <v>834</v>
      </c>
      <c r="N62" s="218"/>
      <c r="O62" s="213"/>
      <c r="P62" s="213"/>
      <c r="Q62" s="213"/>
      <c r="R62" s="220"/>
      <c r="S62" s="221"/>
      <c r="T62" s="31"/>
      <c r="U62" s="31"/>
      <c r="V62" s="31"/>
      <c r="W62" s="31"/>
      <c r="X62" s="31"/>
      <c r="Y62" s="31"/>
      <c r="Z62" s="31"/>
      <c r="AA62" s="31"/>
      <c r="AB62" s="31"/>
      <c r="AC62" s="31"/>
      <c r="AD62" s="31"/>
      <c r="AE62" s="31"/>
      <c r="AF62" s="31"/>
      <c r="AG62" s="31"/>
      <c r="AH62" s="31"/>
      <c r="AI62" s="31"/>
      <c r="AJ62" s="31"/>
      <c r="AK62" s="31"/>
    </row>
    <row r="63" spans="1:37" ht="15.75" customHeight="1">
      <c r="A63" s="213">
        <v>63</v>
      </c>
      <c r="B63" s="214" t="s">
        <v>610</v>
      </c>
      <c r="C63" s="215" t="s">
        <v>677</v>
      </c>
      <c r="D63" s="216" t="s">
        <v>678</v>
      </c>
      <c r="E63" s="216" t="s">
        <v>509</v>
      </c>
      <c r="F63" s="216" t="s">
        <v>679</v>
      </c>
      <c r="G63" s="216" t="s">
        <v>680</v>
      </c>
      <c r="H63" s="217" t="s">
        <v>681</v>
      </c>
      <c r="I63" s="213" t="s">
        <v>682</v>
      </c>
      <c r="J63" s="218" t="s">
        <v>683</v>
      </c>
      <c r="K63" s="218" t="s">
        <v>73</v>
      </c>
      <c r="L63" s="219"/>
      <c r="M63" s="218"/>
      <c r="N63" s="218"/>
      <c r="O63" s="213"/>
      <c r="P63" s="213"/>
      <c r="Q63" s="213"/>
      <c r="R63" s="220"/>
      <c r="S63" s="217" t="s">
        <v>684</v>
      </c>
      <c r="T63" s="31"/>
      <c r="U63" s="31"/>
      <c r="V63" s="31"/>
      <c r="W63" s="31"/>
      <c r="X63" s="31"/>
      <c r="Y63" s="31"/>
      <c r="Z63" s="31"/>
      <c r="AA63" s="31"/>
      <c r="AB63" s="31"/>
      <c r="AC63" s="31"/>
      <c r="AD63" s="31"/>
      <c r="AE63" s="31"/>
      <c r="AF63" s="31"/>
      <c r="AG63" s="31"/>
      <c r="AH63" s="31"/>
      <c r="AI63" s="31"/>
      <c r="AJ63" s="31"/>
      <c r="AK63" s="31"/>
    </row>
    <row r="64" spans="1:37" ht="15.75" customHeight="1">
      <c r="A64" s="213">
        <v>64</v>
      </c>
      <c r="B64" s="214" t="s">
        <v>277</v>
      </c>
      <c r="C64" s="239" t="s">
        <v>956</v>
      </c>
      <c r="D64" s="221" t="s">
        <v>957</v>
      </c>
      <c r="E64" s="221" t="s">
        <v>958</v>
      </c>
      <c r="F64" s="221"/>
      <c r="G64" s="221" t="s">
        <v>23</v>
      </c>
      <c r="H64" s="217" t="s">
        <v>711</v>
      </c>
      <c r="I64" s="213" t="s">
        <v>682</v>
      </c>
      <c r="J64" s="218" t="s">
        <v>683</v>
      </c>
      <c r="K64" s="218" t="s">
        <v>73</v>
      </c>
      <c r="L64" s="247">
        <v>45880</v>
      </c>
      <c r="M64" s="218" t="s">
        <v>834</v>
      </c>
      <c r="N64" s="221"/>
      <c r="O64" s="221"/>
      <c r="P64" s="221"/>
      <c r="Q64" s="221"/>
      <c r="R64" s="221"/>
      <c r="S64" s="221"/>
      <c r="T64" s="31"/>
      <c r="U64" s="31"/>
      <c r="V64" s="31"/>
      <c r="W64" s="31"/>
      <c r="X64" s="31"/>
      <c r="Y64" s="31"/>
      <c r="Z64" s="31"/>
      <c r="AA64" s="31"/>
      <c r="AB64" s="31"/>
      <c r="AC64" s="31"/>
      <c r="AD64" s="31"/>
      <c r="AE64" s="31"/>
      <c r="AF64" s="31"/>
      <c r="AG64" s="31"/>
      <c r="AH64" s="31"/>
      <c r="AI64" s="31"/>
      <c r="AJ64" s="31"/>
      <c r="AK64" s="31"/>
    </row>
    <row r="65" spans="1:37" ht="15.75" customHeight="1">
      <c r="A65" s="213">
        <v>65</v>
      </c>
      <c r="B65" s="12" t="s">
        <v>242</v>
      </c>
      <c r="C65" s="82" t="s">
        <v>959</v>
      </c>
      <c r="D65" s="31" t="s">
        <v>960</v>
      </c>
      <c r="E65" s="31" t="s">
        <v>961</v>
      </c>
      <c r="F65" s="31"/>
      <c r="G65" s="31" t="s">
        <v>962</v>
      </c>
      <c r="H65" s="31" t="s">
        <v>962</v>
      </c>
      <c r="I65" s="213" t="s">
        <v>924</v>
      </c>
      <c r="J65" s="218" t="s">
        <v>683</v>
      </c>
      <c r="K65" s="218" t="s">
        <v>73</v>
      </c>
      <c r="L65" s="247">
        <v>45880</v>
      </c>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row>
    <row r="66" spans="1:37" ht="15.75" customHeight="1">
      <c r="A66" s="213">
        <v>66</v>
      </c>
      <c r="B66" s="12" t="s">
        <v>439</v>
      </c>
      <c r="C66" s="82" t="s">
        <v>963</v>
      </c>
      <c r="D66" s="31" t="s">
        <v>964</v>
      </c>
      <c r="E66" s="31" t="s">
        <v>965</v>
      </c>
      <c r="F66" s="31"/>
      <c r="G66" s="31" t="s">
        <v>962</v>
      </c>
      <c r="H66" s="31" t="s">
        <v>962</v>
      </c>
      <c r="I66" s="213" t="s">
        <v>924</v>
      </c>
      <c r="J66" s="218" t="s">
        <v>683</v>
      </c>
      <c r="K66" s="218" t="s">
        <v>73</v>
      </c>
      <c r="L66" s="247">
        <v>45880</v>
      </c>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row>
    <row r="67" spans="1:37" ht="15.75" customHeight="1">
      <c r="A67" s="213">
        <v>67</v>
      </c>
      <c r="B67" s="214" t="s">
        <v>79</v>
      </c>
      <c r="C67" s="82" t="s">
        <v>966</v>
      </c>
      <c r="D67" s="31" t="s">
        <v>967</v>
      </c>
      <c r="E67" s="31" t="s">
        <v>968</v>
      </c>
      <c r="F67" s="31"/>
      <c r="G67" s="221" t="s">
        <v>949</v>
      </c>
      <c r="H67" s="31" t="s">
        <v>969</v>
      </c>
      <c r="I67" s="213" t="s">
        <v>682</v>
      </c>
      <c r="J67" s="218" t="s">
        <v>683</v>
      </c>
      <c r="K67" s="218" t="s">
        <v>73</v>
      </c>
      <c r="L67" s="248">
        <v>45964</v>
      </c>
      <c r="M67" s="218" t="s">
        <v>834</v>
      </c>
      <c r="N67" s="31"/>
      <c r="O67" s="31"/>
      <c r="P67" s="31"/>
      <c r="Q67" s="31"/>
      <c r="R67" s="31"/>
      <c r="S67" s="31"/>
      <c r="T67" s="31"/>
      <c r="U67" s="31"/>
      <c r="V67" s="31"/>
      <c r="W67" s="31"/>
      <c r="X67" s="31"/>
      <c r="Y67" s="31"/>
      <c r="Z67" s="31"/>
      <c r="AA67" s="31"/>
      <c r="AB67" s="31"/>
      <c r="AC67" s="31"/>
      <c r="AD67" s="31"/>
      <c r="AE67" s="31"/>
      <c r="AF67" s="31"/>
      <c r="AG67" s="31"/>
      <c r="AH67" s="31"/>
      <c r="AI67" s="31"/>
      <c r="AJ67" s="31"/>
      <c r="AK67" s="31"/>
    </row>
    <row r="68" spans="1:37" ht="15.75" customHeight="1">
      <c r="A68" s="213">
        <v>68</v>
      </c>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row>
    <row r="69" spans="1:37" ht="15.75" customHeight="1">
      <c r="A69" s="213">
        <v>69</v>
      </c>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row>
    <row r="70" spans="1:37" ht="15.75" customHeight="1">
      <c r="A70" s="213">
        <v>70</v>
      </c>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row>
    <row r="71" spans="1:37" ht="15.75" customHeight="1">
      <c r="A71" s="213">
        <v>71</v>
      </c>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row>
    <row r="72" spans="1:37" ht="15.75" customHeight="1">
      <c r="A72" s="27"/>
      <c r="B72" s="27"/>
      <c r="C72" s="31"/>
      <c r="D72" s="31"/>
      <c r="E72" s="31"/>
      <c r="F72" s="31"/>
      <c r="G72" s="31"/>
      <c r="H72" s="131"/>
      <c r="I72" s="27"/>
      <c r="J72" s="29"/>
      <c r="K72" s="29"/>
      <c r="L72" s="143"/>
      <c r="M72" s="29"/>
      <c r="N72" s="29"/>
      <c r="O72" s="27"/>
      <c r="P72" s="27"/>
      <c r="Q72" s="27"/>
      <c r="R72" s="142"/>
      <c r="S72" s="31"/>
      <c r="T72" s="31"/>
      <c r="U72" s="31"/>
      <c r="V72" s="31"/>
      <c r="W72" s="31"/>
      <c r="X72" s="31"/>
      <c r="Y72" s="31"/>
      <c r="Z72" s="31"/>
      <c r="AA72" s="31"/>
      <c r="AB72" s="31"/>
      <c r="AC72" s="31"/>
      <c r="AD72" s="31"/>
      <c r="AE72" s="31"/>
      <c r="AF72" s="31"/>
      <c r="AG72" s="31"/>
      <c r="AH72" s="31"/>
      <c r="AI72" s="31"/>
      <c r="AJ72" s="31"/>
      <c r="AK72" s="31"/>
    </row>
    <row r="73" spans="1:37" ht="15.75" customHeight="1">
      <c r="A73" s="27"/>
      <c r="B73" s="27"/>
      <c r="C73" s="31"/>
      <c r="D73" s="31"/>
      <c r="E73" s="31"/>
      <c r="F73" s="31"/>
      <c r="G73" s="31"/>
      <c r="H73" s="131"/>
      <c r="I73" s="27"/>
      <c r="J73" s="29"/>
      <c r="K73" s="29"/>
      <c r="L73" s="143"/>
      <c r="M73" s="29"/>
      <c r="N73" s="29"/>
      <c r="O73" s="27"/>
      <c r="P73" s="27"/>
      <c r="Q73" s="27"/>
      <c r="R73" s="142"/>
      <c r="S73" s="31"/>
      <c r="T73" s="31"/>
      <c r="U73" s="31"/>
      <c r="V73" s="31"/>
      <c r="W73" s="31"/>
      <c r="X73" s="31"/>
      <c r="Y73" s="31"/>
      <c r="Z73" s="31"/>
      <c r="AA73" s="31"/>
      <c r="AB73" s="31"/>
      <c r="AC73" s="31"/>
      <c r="AD73" s="31"/>
      <c r="AE73" s="31"/>
      <c r="AF73" s="31"/>
      <c r="AG73" s="31"/>
      <c r="AH73" s="31"/>
      <c r="AI73" s="31"/>
      <c r="AJ73" s="31"/>
      <c r="AK73" s="31"/>
    </row>
    <row r="74" spans="1:37" ht="15.75" customHeight="1">
      <c r="A74" s="27"/>
      <c r="B74" s="27"/>
      <c r="C74" s="31"/>
      <c r="D74" s="31"/>
      <c r="E74" s="31"/>
      <c r="F74" s="31"/>
      <c r="G74" s="31"/>
      <c r="H74" s="131"/>
      <c r="I74" s="27"/>
      <c r="J74" s="29"/>
      <c r="K74" s="29"/>
      <c r="L74" s="143"/>
      <c r="M74" s="29"/>
      <c r="N74" s="29"/>
      <c r="O74" s="27"/>
      <c r="P74" s="27"/>
      <c r="Q74" s="27"/>
      <c r="R74" s="142"/>
      <c r="S74" s="31"/>
      <c r="T74" s="31"/>
      <c r="U74" s="31"/>
      <c r="V74" s="31"/>
      <c r="W74" s="31"/>
      <c r="X74" s="31"/>
      <c r="Y74" s="31"/>
      <c r="Z74" s="31"/>
      <c r="AA74" s="31"/>
      <c r="AB74" s="31"/>
      <c r="AC74" s="31"/>
      <c r="AD74" s="31"/>
      <c r="AE74" s="31"/>
      <c r="AF74" s="31"/>
      <c r="AG74" s="31"/>
      <c r="AH74" s="31"/>
      <c r="AI74" s="31"/>
      <c r="AJ74" s="31"/>
      <c r="AK74" s="31"/>
    </row>
    <row r="75" spans="1:37" ht="15.75" customHeight="1">
      <c r="A75" s="27"/>
      <c r="B75" s="27"/>
      <c r="C75" s="31"/>
      <c r="D75" s="31"/>
      <c r="E75" s="31"/>
      <c r="F75" s="31"/>
      <c r="G75" s="31"/>
      <c r="H75" s="131"/>
      <c r="I75" s="27"/>
      <c r="J75" s="29"/>
      <c r="K75" s="29"/>
      <c r="L75" s="143"/>
      <c r="M75" s="29"/>
      <c r="N75" s="29"/>
      <c r="O75" s="27"/>
      <c r="P75" s="27"/>
      <c r="Q75" s="27"/>
      <c r="R75" s="142"/>
      <c r="S75" s="31"/>
      <c r="T75" s="31"/>
      <c r="U75" s="31"/>
      <c r="V75" s="31"/>
      <c r="W75" s="31"/>
      <c r="X75" s="31"/>
      <c r="Y75" s="31"/>
      <c r="Z75" s="31"/>
      <c r="AA75" s="31"/>
      <c r="AB75" s="31"/>
      <c r="AC75" s="31"/>
      <c r="AD75" s="31"/>
      <c r="AE75" s="31"/>
      <c r="AF75" s="31"/>
      <c r="AG75" s="31"/>
      <c r="AH75" s="31"/>
      <c r="AI75" s="31"/>
      <c r="AJ75" s="31"/>
      <c r="AK75" s="31"/>
    </row>
    <row r="76" spans="1:37" ht="15.75" customHeight="1">
      <c r="A76" s="27"/>
      <c r="B76" s="27"/>
      <c r="C76" s="31"/>
      <c r="D76" s="31"/>
      <c r="E76" s="31"/>
      <c r="F76" s="31"/>
      <c r="G76" s="31"/>
      <c r="H76" s="131"/>
      <c r="I76" s="27"/>
      <c r="J76" s="29"/>
      <c r="K76" s="29"/>
      <c r="L76" s="143"/>
      <c r="M76" s="29"/>
      <c r="N76" s="29"/>
      <c r="O76" s="27"/>
      <c r="P76" s="27"/>
      <c r="Q76" s="27"/>
      <c r="R76" s="142"/>
      <c r="S76" s="31"/>
      <c r="T76" s="31"/>
      <c r="U76" s="31"/>
      <c r="V76" s="31"/>
      <c r="W76" s="31"/>
      <c r="X76" s="31"/>
      <c r="Y76" s="31"/>
      <c r="Z76" s="31"/>
      <c r="AA76" s="31"/>
      <c r="AB76" s="31"/>
      <c r="AC76" s="31"/>
      <c r="AD76" s="31"/>
      <c r="AE76" s="31"/>
      <c r="AF76" s="31"/>
      <c r="AG76" s="31"/>
      <c r="AH76" s="31"/>
      <c r="AI76" s="31"/>
      <c r="AJ76" s="31"/>
      <c r="AK76" s="31"/>
    </row>
    <row r="77" spans="1:37" ht="15.75" customHeight="1">
      <c r="A77" s="27">
        <v>1</v>
      </c>
      <c r="B77" s="12"/>
      <c r="C77" s="73" t="s">
        <v>970</v>
      </c>
      <c r="D77" s="31" t="s">
        <v>971</v>
      </c>
      <c r="E77" s="74" t="s">
        <v>972</v>
      </c>
      <c r="F77" s="31"/>
      <c r="G77" s="31" t="s">
        <v>973</v>
      </c>
      <c r="H77" s="131" t="s">
        <v>974</v>
      </c>
      <c r="I77" s="27"/>
      <c r="J77" s="29" t="s">
        <v>683</v>
      </c>
      <c r="K77" s="29" t="s">
        <v>975</v>
      </c>
      <c r="L77" s="143"/>
      <c r="M77" s="29"/>
      <c r="N77" s="29"/>
      <c r="O77" s="27"/>
      <c r="P77" s="27"/>
      <c r="Q77" s="27"/>
      <c r="R77" s="142"/>
      <c r="S77" s="31"/>
      <c r="T77" s="31"/>
      <c r="U77" s="31"/>
      <c r="V77" s="31"/>
      <c r="W77" s="31"/>
      <c r="X77" s="31"/>
      <c r="Y77" s="31"/>
      <c r="Z77" s="31"/>
      <c r="AA77" s="31"/>
      <c r="AB77" s="31"/>
      <c r="AC77" s="31"/>
      <c r="AD77" s="31"/>
      <c r="AE77" s="31"/>
      <c r="AF77" s="31"/>
      <c r="AG77" s="31"/>
      <c r="AH77" s="31"/>
      <c r="AI77" s="31"/>
      <c r="AJ77" s="31"/>
      <c r="AK77" s="31"/>
    </row>
    <row r="78" spans="1:37" ht="15.75" customHeight="1">
      <c r="A78" s="27">
        <v>2</v>
      </c>
      <c r="B78" s="12"/>
      <c r="C78" s="73" t="s">
        <v>976</v>
      </c>
      <c r="D78" s="31" t="s">
        <v>977</v>
      </c>
      <c r="E78" s="74" t="s">
        <v>978</v>
      </c>
      <c r="F78" s="31"/>
      <c r="G78" s="31" t="s">
        <v>973</v>
      </c>
      <c r="H78" s="131" t="s">
        <v>979</v>
      </c>
      <c r="I78" s="27" t="s">
        <v>682</v>
      </c>
      <c r="J78" s="29" t="s">
        <v>683</v>
      </c>
      <c r="K78" s="29" t="s">
        <v>975</v>
      </c>
      <c r="L78" s="143"/>
      <c r="M78" s="29"/>
      <c r="N78" s="29"/>
      <c r="O78" s="27"/>
      <c r="P78" s="27"/>
      <c r="Q78" s="27"/>
      <c r="R78" s="142"/>
      <c r="S78" s="31"/>
      <c r="T78" s="31"/>
      <c r="U78" s="31"/>
      <c r="V78" s="31"/>
      <c r="W78" s="31"/>
      <c r="X78" s="31"/>
      <c r="Y78" s="31"/>
      <c r="Z78" s="31"/>
      <c r="AA78" s="31"/>
      <c r="AB78" s="31"/>
      <c r="AC78" s="31"/>
      <c r="AD78" s="31"/>
      <c r="AE78" s="31"/>
      <c r="AF78" s="31"/>
      <c r="AG78" s="31"/>
      <c r="AH78" s="31"/>
      <c r="AI78" s="31"/>
      <c r="AJ78" s="31"/>
      <c r="AK78" s="31"/>
    </row>
    <row r="79" spans="1:37" ht="15.75" customHeight="1">
      <c r="A79" s="27">
        <v>3</v>
      </c>
      <c r="B79" s="12"/>
      <c r="C79" s="73" t="s">
        <v>980</v>
      </c>
      <c r="D79" s="31" t="s">
        <v>981</v>
      </c>
      <c r="E79" s="74" t="s">
        <v>982</v>
      </c>
      <c r="F79" s="31"/>
      <c r="G79" s="31" t="s">
        <v>973</v>
      </c>
      <c r="H79" s="131" t="s">
        <v>974</v>
      </c>
      <c r="I79" s="27"/>
      <c r="J79" s="29" t="s">
        <v>683</v>
      </c>
      <c r="K79" s="29" t="s">
        <v>975</v>
      </c>
      <c r="L79" s="143"/>
      <c r="M79" s="29"/>
      <c r="N79" s="29"/>
      <c r="O79" s="27"/>
      <c r="P79" s="27"/>
      <c r="Q79" s="27"/>
      <c r="R79" s="142"/>
      <c r="S79" s="31"/>
      <c r="T79" s="31"/>
      <c r="U79" s="31"/>
      <c r="V79" s="31"/>
      <c r="W79" s="31"/>
      <c r="X79" s="31"/>
      <c r="Y79" s="31"/>
      <c r="Z79" s="31"/>
      <c r="AA79" s="31"/>
      <c r="AB79" s="31"/>
      <c r="AC79" s="31"/>
      <c r="AD79" s="31"/>
      <c r="AE79" s="31"/>
      <c r="AF79" s="31"/>
      <c r="AG79" s="31"/>
      <c r="AH79" s="31"/>
      <c r="AI79" s="31"/>
      <c r="AJ79" s="31"/>
      <c r="AK79" s="31"/>
    </row>
    <row r="80" spans="1:37" ht="15.75" customHeight="1">
      <c r="A80" s="27">
        <v>4</v>
      </c>
      <c r="B80" s="12"/>
      <c r="C80" s="73" t="s">
        <v>983</v>
      </c>
      <c r="D80" s="31" t="s">
        <v>984</v>
      </c>
      <c r="E80" s="74" t="s">
        <v>985</v>
      </c>
      <c r="F80" s="31"/>
      <c r="G80" s="31" t="s">
        <v>973</v>
      </c>
      <c r="H80" s="131" t="s">
        <v>974</v>
      </c>
      <c r="I80" s="27"/>
      <c r="J80" s="29" t="s">
        <v>683</v>
      </c>
      <c r="K80" s="29" t="s">
        <v>975</v>
      </c>
      <c r="L80" s="143"/>
      <c r="M80" s="29"/>
      <c r="N80" s="29"/>
      <c r="O80" s="27"/>
      <c r="P80" s="27"/>
      <c r="Q80" s="27"/>
      <c r="R80" s="142"/>
      <c r="S80" s="31"/>
      <c r="T80" s="31"/>
      <c r="U80" s="31"/>
      <c r="V80" s="31"/>
      <c r="W80" s="31"/>
      <c r="X80" s="31"/>
      <c r="Y80" s="31"/>
      <c r="Z80" s="31"/>
      <c r="AA80" s="31"/>
      <c r="AB80" s="31"/>
      <c r="AC80" s="31"/>
      <c r="AD80" s="31"/>
      <c r="AE80" s="31"/>
      <c r="AF80" s="31"/>
      <c r="AG80" s="31"/>
      <c r="AH80" s="31"/>
      <c r="AI80" s="31"/>
      <c r="AJ80" s="31"/>
      <c r="AK80" s="31"/>
    </row>
    <row r="81" spans="1:37" ht="15.75" customHeight="1">
      <c r="A81" s="27">
        <v>5</v>
      </c>
      <c r="B81" s="12"/>
      <c r="C81" s="73" t="s">
        <v>986</v>
      </c>
      <c r="D81" s="74" t="s">
        <v>987</v>
      </c>
      <c r="E81" s="74" t="s">
        <v>987</v>
      </c>
      <c r="F81" s="31"/>
      <c r="G81" s="31" t="s">
        <v>54</v>
      </c>
      <c r="H81" s="131"/>
      <c r="I81" s="27" t="s">
        <v>988</v>
      </c>
      <c r="J81" s="29" t="s">
        <v>683</v>
      </c>
      <c r="K81" s="29" t="s">
        <v>989</v>
      </c>
      <c r="L81" s="143"/>
      <c r="M81" s="29"/>
      <c r="N81" s="29"/>
      <c r="O81" s="27"/>
      <c r="P81" s="27"/>
      <c r="Q81" s="27"/>
      <c r="R81" s="142" t="s">
        <v>990</v>
      </c>
      <c r="S81" s="31"/>
      <c r="T81" s="31"/>
      <c r="U81" s="31"/>
      <c r="V81" s="31"/>
      <c r="W81" s="31"/>
      <c r="X81" s="31"/>
      <c r="Y81" s="31"/>
      <c r="Z81" s="31"/>
      <c r="AA81" s="31"/>
      <c r="AB81" s="31"/>
      <c r="AC81" s="31"/>
      <c r="AD81" s="31"/>
      <c r="AE81" s="31"/>
      <c r="AF81" s="31"/>
      <c r="AG81" s="31"/>
      <c r="AH81" s="31"/>
      <c r="AI81" s="31"/>
      <c r="AJ81" s="31"/>
      <c r="AK81" s="31"/>
    </row>
    <row r="82" spans="1:37" ht="15.75" customHeight="1">
      <c r="A82" s="27">
        <v>6</v>
      </c>
      <c r="B82" s="12"/>
      <c r="C82" s="73" t="s">
        <v>991</v>
      </c>
      <c r="D82" s="74" t="s">
        <v>992</v>
      </c>
      <c r="E82" s="74" t="s">
        <v>992</v>
      </c>
      <c r="F82" s="31"/>
      <c r="G82" s="31" t="s">
        <v>23</v>
      </c>
      <c r="H82" s="131"/>
      <c r="I82" s="27" t="s">
        <v>988</v>
      </c>
      <c r="J82" s="29" t="s">
        <v>683</v>
      </c>
      <c r="K82" s="29" t="s">
        <v>989</v>
      </c>
      <c r="L82" s="143"/>
      <c r="M82" s="29"/>
      <c r="N82" s="29"/>
      <c r="O82" s="27"/>
      <c r="P82" s="27"/>
      <c r="Q82" s="27"/>
      <c r="R82" s="142" t="s">
        <v>993</v>
      </c>
      <c r="S82" s="31"/>
      <c r="T82" s="31"/>
      <c r="U82" s="31"/>
      <c r="V82" s="31"/>
      <c r="W82" s="31"/>
      <c r="X82" s="31"/>
      <c r="Y82" s="31"/>
      <c r="Z82" s="31"/>
      <c r="AA82" s="31"/>
      <c r="AB82" s="31"/>
      <c r="AC82" s="31"/>
      <c r="AD82" s="31"/>
      <c r="AE82" s="31"/>
      <c r="AF82" s="31"/>
      <c r="AG82" s="31"/>
      <c r="AH82" s="31"/>
      <c r="AI82" s="31"/>
      <c r="AJ82" s="31"/>
      <c r="AK82" s="31"/>
    </row>
    <row r="83" spans="1:37" ht="15.75" customHeight="1">
      <c r="A83" s="27">
        <v>7</v>
      </c>
      <c r="B83" s="12"/>
      <c r="C83" s="73" t="s">
        <v>994</v>
      </c>
      <c r="D83" s="74" t="s">
        <v>995</v>
      </c>
      <c r="E83" s="74" t="s">
        <v>995</v>
      </c>
      <c r="F83" s="31"/>
      <c r="G83" s="31" t="s">
        <v>660</v>
      </c>
      <c r="H83" s="131"/>
      <c r="I83" s="27" t="s">
        <v>988</v>
      </c>
      <c r="J83" s="29" t="s">
        <v>683</v>
      </c>
      <c r="K83" s="29" t="s">
        <v>989</v>
      </c>
      <c r="L83" s="143"/>
      <c r="M83" s="29"/>
      <c r="N83" s="29"/>
      <c r="O83" s="27"/>
      <c r="P83" s="27"/>
      <c r="Q83" s="27"/>
      <c r="R83" s="142" t="s">
        <v>996</v>
      </c>
      <c r="S83" s="31"/>
      <c r="T83" s="31"/>
      <c r="U83" s="31"/>
      <c r="V83" s="31"/>
      <c r="W83" s="31"/>
      <c r="X83" s="31"/>
      <c r="Y83" s="31"/>
      <c r="Z83" s="31"/>
      <c r="AA83" s="31"/>
      <c r="AB83" s="31"/>
      <c r="AC83" s="31"/>
      <c r="AD83" s="31"/>
      <c r="AE83" s="31"/>
      <c r="AF83" s="31"/>
      <c r="AG83" s="31"/>
      <c r="AH83" s="31"/>
      <c r="AI83" s="31"/>
      <c r="AJ83" s="31"/>
      <c r="AK83" s="31"/>
    </row>
    <row r="84" spans="1:37" ht="15.75" customHeight="1">
      <c r="A84" s="27">
        <v>8</v>
      </c>
      <c r="B84" s="12"/>
      <c r="C84" s="82" t="s">
        <v>997</v>
      </c>
      <c r="D84" s="31" t="s">
        <v>998</v>
      </c>
      <c r="E84" s="31" t="s">
        <v>999</v>
      </c>
      <c r="F84" s="31"/>
      <c r="G84" s="31" t="s">
        <v>844</v>
      </c>
      <c r="H84" s="31" t="s">
        <v>1000</v>
      </c>
      <c r="I84" s="27" t="s">
        <v>682</v>
      </c>
      <c r="J84" s="29" t="s">
        <v>683</v>
      </c>
      <c r="K84" s="29" t="s">
        <v>73</v>
      </c>
      <c r="L84" s="143">
        <v>45240</v>
      </c>
      <c r="M84" s="29" t="s">
        <v>898</v>
      </c>
      <c r="N84" s="29" t="s">
        <v>899</v>
      </c>
      <c r="O84" s="27">
        <v>3520</v>
      </c>
      <c r="P84" s="27"/>
      <c r="Q84" s="27"/>
      <c r="R84" s="142"/>
      <c r="S84" s="31"/>
      <c r="T84" s="31"/>
      <c r="U84" s="31"/>
      <c r="V84" s="31"/>
      <c r="W84" s="31"/>
      <c r="X84" s="31"/>
      <c r="Y84" s="31"/>
      <c r="Z84" s="31"/>
      <c r="AA84" s="31"/>
      <c r="AB84" s="31"/>
      <c r="AC84" s="31"/>
      <c r="AD84" s="31"/>
      <c r="AE84" s="31"/>
      <c r="AF84" s="31"/>
      <c r="AG84" s="31"/>
      <c r="AH84" s="31"/>
      <c r="AI84" s="31"/>
      <c r="AJ84" s="31"/>
      <c r="AK84" s="31"/>
    </row>
    <row r="85" spans="1:37" ht="15.75" customHeight="1">
      <c r="A85" s="27">
        <v>9</v>
      </c>
      <c r="B85" s="12"/>
      <c r="C85" s="82" t="s">
        <v>1001</v>
      </c>
      <c r="D85" s="31" t="s">
        <v>1002</v>
      </c>
      <c r="E85" s="31" t="s">
        <v>1002</v>
      </c>
      <c r="F85" s="31"/>
      <c r="G85" s="31" t="s">
        <v>660</v>
      </c>
      <c r="H85" s="131"/>
      <c r="I85" s="27" t="s">
        <v>988</v>
      </c>
      <c r="J85" s="29" t="s">
        <v>683</v>
      </c>
      <c r="K85" s="29" t="s">
        <v>989</v>
      </c>
      <c r="L85" s="143"/>
      <c r="M85" s="29"/>
      <c r="N85" s="29"/>
      <c r="O85" s="27"/>
      <c r="P85" s="27"/>
      <c r="Q85" s="27"/>
      <c r="R85" s="142"/>
      <c r="S85" s="31"/>
      <c r="T85" s="31"/>
      <c r="U85" s="31"/>
      <c r="V85" s="31"/>
      <c r="W85" s="31"/>
      <c r="X85" s="31"/>
      <c r="Y85" s="31"/>
      <c r="Z85" s="31"/>
      <c r="AA85" s="31"/>
      <c r="AB85" s="31"/>
      <c r="AC85" s="31"/>
      <c r="AD85" s="31"/>
      <c r="AE85" s="31"/>
      <c r="AF85" s="31"/>
      <c r="AG85" s="31"/>
      <c r="AH85" s="31"/>
      <c r="AI85" s="31"/>
      <c r="AJ85" s="31"/>
      <c r="AK85" s="31"/>
    </row>
    <row r="86" spans="1:37" ht="15.75" customHeight="1">
      <c r="A86" s="27">
        <v>10</v>
      </c>
      <c r="B86" s="12"/>
      <c r="C86" s="82" t="s">
        <v>1003</v>
      </c>
      <c r="D86" s="31" t="s">
        <v>1004</v>
      </c>
      <c r="E86" s="31" t="s">
        <v>1004</v>
      </c>
      <c r="F86" s="31"/>
      <c r="G86" s="31" t="s">
        <v>660</v>
      </c>
      <c r="H86" s="131"/>
      <c r="I86" s="27" t="s">
        <v>988</v>
      </c>
      <c r="J86" s="29" t="s">
        <v>1005</v>
      </c>
      <c r="K86" s="29" t="s">
        <v>989</v>
      </c>
      <c r="L86" s="143"/>
      <c r="M86" s="29"/>
      <c r="N86" s="29"/>
      <c r="O86" s="27"/>
      <c r="P86" s="27"/>
      <c r="Q86" s="27"/>
      <c r="R86" s="142"/>
      <c r="S86" s="31"/>
      <c r="T86" s="31"/>
      <c r="U86" s="31"/>
      <c r="V86" s="31"/>
      <c r="W86" s="31"/>
      <c r="X86" s="31"/>
      <c r="Y86" s="31"/>
      <c r="Z86" s="31"/>
      <c r="AA86" s="31"/>
      <c r="AB86" s="31"/>
      <c r="AC86" s="31"/>
      <c r="AD86" s="31"/>
      <c r="AE86" s="31"/>
      <c r="AF86" s="31"/>
      <c r="AG86" s="31"/>
      <c r="AH86" s="31"/>
      <c r="AI86" s="31"/>
      <c r="AJ86" s="31"/>
      <c r="AK86" s="31"/>
    </row>
    <row r="87" spans="1:37" ht="15.75" customHeight="1">
      <c r="A87" s="27">
        <v>11</v>
      </c>
      <c r="B87" s="27"/>
      <c r="C87" s="80" t="s">
        <v>1001</v>
      </c>
      <c r="D87" s="74" t="s">
        <v>696</v>
      </c>
      <c r="E87" s="74" t="s">
        <v>697</v>
      </c>
      <c r="F87" s="74" t="s">
        <v>698</v>
      </c>
      <c r="G87" s="74"/>
      <c r="H87" s="131" t="s">
        <v>699</v>
      </c>
      <c r="I87" s="27" t="s">
        <v>924</v>
      </c>
      <c r="J87" s="29" t="s">
        <v>683</v>
      </c>
      <c r="K87" s="29" t="s">
        <v>73</v>
      </c>
      <c r="L87" s="143">
        <v>45250</v>
      </c>
      <c r="M87" s="29"/>
      <c r="N87" s="29"/>
      <c r="O87" s="27"/>
      <c r="P87" s="27"/>
      <c r="Q87" s="27"/>
      <c r="R87" s="142"/>
      <c r="S87" s="31"/>
      <c r="T87" s="31"/>
      <c r="U87" s="31"/>
      <c r="V87" s="31"/>
      <c r="W87" s="31"/>
      <c r="X87" s="31"/>
      <c r="Y87" s="31"/>
      <c r="Z87" s="31"/>
      <c r="AA87" s="31"/>
      <c r="AB87" s="31"/>
      <c r="AC87" s="31"/>
      <c r="AD87" s="31"/>
      <c r="AE87" s="31"/>
      <c r="AF87" s="31"/>
      <c r="AG87" s="31"/>
      <c r="AH87" s="31"/>
      <c r="AI87" s="31"/>
      <c r="AJ87" s="31"/>
      <c r="AK87" s="31"/>
    </row>
    <row r="88" spans="1:37" ht="15.75" customHeight="1">
      <c r="A88" s="27">
        <v>12</v>
      </c>
      <c r="B88" s="27"/>
      <c r="C88" s="80" t="s">
        <v>1003</v>
      </c>
      <c r="D88" s="31"/>
      <c r="E88" s="31" t="s">
        <v>1006</v>
      </c>
      <c r="F88" s="31"/>
      <c r="G88" s="31"/>
      <c r="H88" s="131" t="s">
        <v>699</v>
      </c>
      <c r="I88" s="27" t="s">
        <v>924</v>
      </c>
      <c r="J88" s="29" t="s">
        <v>1005</v>
      </c>
      <c r="K88" s="29" t="s">
        <v>73</v>
      </c>
      <c r="L88" s="143">
        <v>45250</v>
      </c>
      <c r="M88" s="29"/>
      <c r="N88" s="29"/>
      <c r="O88" s="27"/>
      <c r="P88" s="27"/>
      <c r="Q88" s="27"/>
      <c r="R88" s="142"/>
      <c r="S88" s="31"/>
      <c r="T88" s="31"/>
      <c r="U88" s="31"/>
      <c r="V88" s="31"/>
      <c r="W88" s="31"/>
      <c r="X88" s="31"/>
      <c r="Y88" s="31"/>
      <c r="Z88" s="31"/>
      <c r="AA88" s="31"/>
      <c r="AB88" s="31"/>
      <c r="AC88" s="31"/>
      <c r="AD88" s="31"/>
      <c r="AE88" s="31"/>
      <c r="AF88" s="31"/>
      <c r="AG88" s="31"/>
      <c r="AH88" s="31"/>
      <c r="AI88" s="31"/>
      <c r="AJ88" s="31"/>
      <c r="AK88" s="31"/>
    </row>
    <row r="89" spans="1:37" ht="15.75" customHeight="1">
      <c r="A89" s="27"/>
      <c r="B89" s="27"/>
      <c r="C89" s="31"/>
      <c r="D89" s="31"/>
      <c r="E89" s="31"/>
      <c r="F89" s="31"/>
      <c r="G89" s="31"/>
      <c r="H89" s="131"/>
      <c r="I89" s="27"/>
      <c r="J89" s="29"/>
      <c r="K89" s="29"/>
      <c r="L89" s="143"/>
      <c r="M89" s="29"/>
      <c r="N89" s="29"/>
      <c r="O89" s="27"/>
      <c r="P89" s="27"/>
      <c r="Q89" s="27"/>
      <c r="R89" s="142"/>
      <c r="S89" s="31"/>
      <c r="T89" s="31"/>
      <c r="U89" s="31"/>
      <c r="V89" s="31"/>
      <c r="W89" s="31"/>
      <c r="X89" s="31"/>
      <c r="Y89" s="31"/>
      <c r="Z89" s="31"/>
      <c r="AA89" s="31"/>
      <c r="AB89" s="31"/>
      <c r="AC89" s="31"/>
      <c r="AD89" s="31"/>
      <c r="AE89" s="31"/>
      <c r="AF89" s="31"/>
      <c r="AG89" s="31"/>
      <c r="AH89" s="31"/>
      <c r="AI89" s="31"/>
      <c r="AJ89" s="31"/>
      <c r="AK89" s="31"/>
    </row>
    <row r="90" spans="1:37" ht="15.75" customHeight="1">
      <c r="A90" s="27"/>
      <c r="B90" s="27"/>
      <c r="C90" s="31"/>
      <c r="D90" s="31"/>
      <c r="E90" s="31"/>
      <c r="F90" s="31"/>
      <c r="G90" s="31"/>
      <c r="H90" s="131"/>
      <c r="I90" s="27"/>
      <c r="J90" s="29"/>
      <c r="K90" s="29"/>
      <c r="L90" s="143"/>
      <c r="M90" s="29"/>
      <c r="N90" s="29"/>
      <c r="O90" s="27"/>
      <c r="P90" s="27"/>
      <c r="Q90" s="27"/>
      <c r="R90" s="142"/>
      <c r="S90" s="31"/>
      <c r="T90" s="31"/>
      <c r="U90" s="31"/>
      <c r="V90" s="31"/>
      <c r="W90" s="31"/>
      <c r="X90" s="31"/>
      <c r="Y90" s="31"/>
      <c r="Z90" s="31"/>
      <c r="AA90" s="31"/>
      <c r="AB90" s="31"/>
      <c r="AC90" s="31"/>
      <c r="AD90" s="31"/>
      <c r="AE90" s="31"/>
      <c r="AF90" s="31"/>
      <c r="AG90" s="31"/>
      <c r="AH90" s="31"/>
      <c r="AI90" s="31"/>
      <c r="AJ90" s="31"/>
      <c r="AK90" s="31"/>
    </row>
    <row r="91" spans="1:37" ht="15.75" customHeight="1">
      <c r="A91" s="27"/>
      <c r="B91" s="27"/>
      <c r="C91" s="31"/>
      <c r="D91" s="31"/>
      <c r="E91" s="31"/>
      <c r="F91" s="31"/>
      <c r="G91" s="31"/>
      <c r="H91" s="131"/>
      <c r="I91" s="27"/>
      <c r="J91" s="29"/>
      <c r="K91" s="29"/>
      <c r="L91" s="143"/>
      <c r="M91" s="29"/>
      <c r="N91" s="29"/>
      <c r="O91" s="27"/>
      <c r="P91" s="27"/>
      <c r="Q91" s="27"/>
      <c r="R91" s="142"/>
      <c r="S91" s="31"/>
      <c r="T91" s="31"/>
      <c r="U91" s="31"/>
      <c r="V91" s="31"/>
      <c r="W91" s="31"/>
      <c r="X91" s="31"/>
      <c r="Y91" s="31"/>
      <c r="Z91" s="31"/>
      <c r="AA91" s="31"/>
      <c r="AB91" s="31"/>
      <c r="AC91" s="31"/>
      <c r="AD91" s="31"/>
      <c r="AE91" s="31"/>
      <c r="AF91" s="31"/>
      <c r="AG91" s="31"/>
      <c r="AH91" s="31"/>
      <c r="AI91" s="31"/>
      <c r="AJ91" s="31"/>
      <c r="AK91" s="31"/>
    </row>
    <row r="92" spans="1:37" ht="15.75" customHeight="1">
      <c r="A92" s="27"/>
      <c r="B92" s="27"/>
      <c r="C92" s="31"/>
      <c r="D92" s="31"/>
      <c r="E92" s="31"/>
      <c r="F92" s="31"/>
      <c r="G92" s="31"/>
      <c r="H92" s="131"/>
      <c r="I92" s="27"/>
      <c r="J92" s="29"/>
      <c r="K92" s="29"/>
      <c r="L92" s="143"/>
      <c r="M92" s="29"/>
      <c r="N92" s="29"/>
      <c r="O92" s="27"/>
      <c r="P92" s="27"/>
      <c r="Q92" s="27"/>
      <c r="R92" s="142"/>
      <c r="S92" s="31"/>
      <c r="T92" s="31"/>
      <c r="U92" s="31"/>
      <c r="V92" s="31"/>
      <c r="W92" s="31"/>
      <c r="X92" s="31"/>
      <c r="Y92" s="31"/>
      <c r="Z92" s="31"/>
      <c r="AA92" s="31"/>
      <c r="AB92" s="31"/>
      <c r="AC92" s="31"/>
      <c r="AD92" s="31"/>
      <c r="AE92" s="31"/>
      <c r="AF92" s="31"/>
      <c r="AG92" s="31"/>
      <c r="AH92" s="31"/>
      <c r="AI92" s="31"/>
      <c r="AJ92" s="31"/>
      <c r="AK92" s="31"/>
    </row>
    <row r="93" spans="1:37" ht="15.75" customHeight="1">
      <c r="A93" s="27"/>
      <c r="B93" s="27"/>
      <c r="C93" s="31"/>
      <c r="D93" s="31"/>
      <c r="E93" s="31"/>
      <c r="F93" s="31"/>
      <c r="G93" s="31"/>
      <c r="H93" s="131"/>
      <c r="I93" s="27"/>
      <c r="J93" s="29"/>
      <c r="K93" s="29"/>
      <c r="L93" s="143"/>
      <c r="M93" s="29"/>
      <c r="N93" s="29"/>
      <c r="O93" s="27"/>
      <c r="P93" s="27"/>
      <c r="Q93" s="27"/>
      <c r="R93" s="142"/>
      <c r="S93" s="31"/>
      <c r="T93" s="31"/>
      <c r="U93" s="31"/>
      <c r="V93" s="31"/>
      <c r="W93" s="31"/>
      <c r="X93" s="31"/>
      <c r="Y93" s="31"/>
      <c r="Z93" s="31"/>
      <c r="AA93" s="31"/>
      <c r="AB93" s="31"/>
      <c r="AC93" s="31"/>
      <c r="AD93" s="31"/>
      <c r="AE93" s="31"/>
      <c r="AF93" s="31"/>
      <c r="AG93" s="31"/>
      <c r="AH93" s="31"/>
      <c r="AI93" s="31"/>
      <c r="AJ93" s="31"/>
      <c r="AK93" s="31"/>
    </row>
    <row r="94" spans="1:37" ht="15.75" customHeight="1">
      <c r="A94" s="27"/>
      <c r="B94" s="27"/>
      <c r="C94" s="31"/>
      <c r="D94" s="31"/>
      <c r="E94" s="31"/>
      <c r="F94" s="31"/>
      <c r="G94" s="31"/>
      <c r="H94" s="131"/>
      <c r="I94" s="27"/>
      <c r="J94" s="29"/>
      <c r="K94" s="29"/>
      <c r="L94" s="143"/>
      <c r="M94" s="29"/>
      <c r="N94" s="29"/>
      <c r="O94" s="27"/>
      <c r="P94" s="27"/>
      <c r="Q94" s="27"/>
      <c r="R94" s="142"/>
      <c r="S94" s="31"/>
      <c r="T94" s="31"/>
      <c r="U94" s="31"/>
      <c r="V94" s="31"/>
      <c r="W94" s="31"/>
      <c r="X94" s="31"/>
      <c r="Y94" s="31"/>
      <c r="Z94" s="31"/>
      <c r="AA94" s="31"/>
      <c r="AB94" s="31"/>
      <c r="AC94" s="31"/>
      <c r="AD94" s="31"/>
      <c r="AE94" s="31"/>
      <c r="AF94" s="31"/>
      <c r="AG94" s="31"/>
      <c r="AH94" s="31"/>
      <c r="AI94" s="31"/>
      <c r="AJ94" s="31"/>
      <c r="AK94" s="31"/>
    </row>
    <row r="95" spans="1:37" ht="15.75" customHeight="1">
      <c r="A95" s="27"/>
      <c r="B95" s="27"/>
      <c r="C95" s="31"/>
      <c r="D95" s="31"/>
      <c r="E95" s="31"/>
      <c r="F95" s="31"/>
      <c r="G95" s="31"/>
      <c r="H95" s="131"/>
      <c r="I95" s="27"/>
      <c r="J95" s="29"/>
      <c r="K95" s="29"/>
      <c r="L95" s="143"/>
      <c r="M95" s="29"/>
      <c r="N95" s="29"/>
      <c r="O95" s="27"/>
      <c r="P95" s="27"/>
      <c r="Q95" s="27"/>
      <c r="R95" s="142"/>
      <c r="S95" s="31"/>
      <c r="T95" s="31"/>
      <c r="U95" s="31"/>
      <c r="V95" s="31"/>
      <c r="W95" s="31"/>
      <c r="X95" s="31"/>
      <c r="Y95" s="31"/>
      <c r="Z95" s="31"/>
      <c r="AA95" s="31"/>
      <c r="AB95" s="31"/>
      <c r="AC95" s="31"/>
      <c r="AD95" s="31"/>
      <c r="AE95" s="31"/>
      <c r="AF95" s="31"/>
      <c r="AG95" s="31"/>
      <c r="AH95" s="31"/>
      <c r="AI95" s="31"/>
      <c r="AJ95" s="31"/>
      <c r="AK95" s="31"/>
    </row>
    <row r="96" spans="1:37" ht="15.75" customHeight="1">
      <c r="A96" s="27"/>
      <c r="B96" s="27"/>
      <c r="C96" s="31"/>
      <c r="D96" s="31"/>
      <c r="E96" s="31"/>
      <c r="F96" s="31"/>
      <c r="G96" s="31"/>
      <c r="H96" s="131"/>
      <c r="I96" s="27"/>
      <c r="J96" s="29"/>
      <c r="K96" s="29"/>
      <c r="L96" s="143"/>
      <c r="M96" s="29"/>
      <c r="N96" s="29"/>
      <c r="O96" s="27"/>
      <c r="P96" s="27"/>
      <c r="Q96" s="27"/>
      <c r="R96" s="142"/>
      <c r="S96" s="31"/>
      <c r="T96" s="31"/>
      <c r="U96" s="31"/>
      <c r="V96" s="31"/>
      <c r="W96" s="31"/>
      <c r="X96" s="31"/>
      <c r="Y96" s="31"/>
      <c r="Z96" s="31"/>
      <c r="AA96" s="31"/>
      <c r="AB96" s="31"/>
      <c r="AC96" s="31"/>
      <c r="AD96" s="31"/>
      <c r="AE96" s="31"/>
      <c r="AF96" s="31"/>
      <c r="AG96" s="31"/>
      <c r="AH96" s="31"/>
      <c r="AI96" s="31"/>
      <c r="AJ96" s="31"/>
      <c r="AK96" s="31"/>
    </row>
    <row r="97" spans="1:37" ht="15.75" customHeight="1">
      <c r="A97" s="27"/>
      <c r="B97" s="27"/>
      <c r="C97" s="31"/>
      <c r="D97" s="31"/>
      <c r="E97" s="31"/>
      <c r="F97" s="31"/>
      <c r="G97" s="31"/>
      <c r="H97" s="131"/>
      <c r="I97" s="27"/>
      <c r="J97" s="29"/>
      <c r="K97" s="29"/>
      <c r="L97" s="143"/>
      <c r="M97" s="29"/>
      <c r="N97" s="29"/>
      <c r="O97" s="27"/>
      <c r="P97" s="27"/>
      <c r="Q97" s="27"/>
      <c r="R97" s="142"/>
      <c r="S97" s="31"/>
      <c r="T97" s="31"/>
      <c r="U97" s="31"/>
      <c r="V97" s="31"/>
      <c r="W97" s="31"/>
      <c r="X97" s="31"/>
      <c r="Y97" s="31"/>
      <c r="Z97" s="31"/>
      <c r="AA97" s="31"/>
      <c r="AB97" s="31"/>
      <c r="AC97" s="31"/>
      <c r="AD97" s="31"/>
      <c r="AE97" s="31"/>
      <c r="AF97" s="31"/>
      <c r="AG97" s="31"/>
      <c r="AH97" s="31"/>
      <c r="AI97" s="31"/>
      <c r="AJ97" s="31"/>
      <c r="AK97" s="31"/>
    </row>
    <row r="98" spans="1:37" ht="15.75" customHeight="1">
      <c r="A98" s="27"/>
      <c r="B98" s="27"/>
      <c r="C98" s="31"/>
      <c r="D98" s="31"/>
      <c r="E98" s="31"/>
      <c r="F98" s="31"/>
      <c r="G98" s="31"/>
      <c r="H98" s="131"/>
      <c r="I98" s="27"/>
      <c r="J98" s="29"/>
      <c r="K98" s="29"/>
      <c r="L98" s="143"/>
      <c r="M98" s="29"/>
      <c r="N98" s="29"/>
      <c r="O98" s="27"/>
      <c r="P98" s="27"/>
      <c r="Q98" s="27"/>
      <c r="R98" s="142"/>
      <c r="S98" s="31"/>
      <c r="T98" s="31"/>
      <c r="U98" s="31"/>
      <c r="V98" s="31"/>
      <c r="W98" s="31"/>
      <c r="X98" s="31"/>
      <c r="Y98" s="31"/>
      <c r="Z98" s="31"/>
      <c r="AA98" s="31"/>
      <c r="AB98" s="31"/>
      <c r="AC98" s="31"/>
      <c r="AD98" s="31"/>
      <c r="AE98" s="31"/>
      <c r="AF98" s="31"/>
      <c r="AG98" s="31"/>
      <c r="AH98" s="31"/>
      <c r="AI98" s="31"/>
      <c r="AJ98" s="31"/>
      <c r="AK98" s="31"/>
    </row>
    <row r="99" spans="1:37" ht="15.75" customHeight="1">
      <c r="A99" s="27"/>
      <c r="B99" s="27"/>
      <c r="C99" s="31"/>
      <c r="D99" s="31"/>
      <c r="E99" s="31"/>
      <c r="F99" s="31"/>
      <c r="G99" s="31"/>
      <c r="H99" s="131"/>
      <c r="I99" s="27"/>
      <c r="J99" s="29"/>
      <c r="K99" s="29"/>
      <c r="L99" s="143"/>
      <c r="M99" s="29"/>
      <c r="N99" s="29"/>
      <c r="O99" s="27"/>
      <c r="P99" s="27"/>
      <c r="Q99" s="27"/>
      <c r="R99" s="142"/>
      <c r="S99" s="31"/>
      <c r="T99" s="31"/>
      <c r="U99" s="31"/>
      <c r="V99" s="31"/>
      <c r="W99" s="31"/>
      <c r="X99" s="31"/>
      <c r="Y99" s="31"/>
      <c r="Z99" s="31"/>
      <c r="AA99" s="31"/>
      <c r="AB99" s="31"/>
      <c r="AC99" s="31"/>
      <c r="AD99" s="31"/>
      <c r="AE99" s="31"/>
      <c r="AF99" s="31"/>
      <c r="AG99" s="31"/>
      <c r="AH99" s="31"/>
      <c r="AI99" s="31"/>
      <c r="AJ99" s="31"/>
      <c r="AK99" s="31"/>
    </row>
    <row r="100" spans="1:37" ht="15.75" customHeight="1">
      <c r="A100" s="27"/>
      <c r="B100" s="27"/>
      <c r="C100" s="31"/>
      <c r="D100" s="31"/>
      <c r="E100" s="31"/>
      <c r="F100" s="31"/>
      <c r="G100" s="31"/>
      <c r="H100" s="131"/>
      <c r="I100" s="27"/>
      <c r="J100" s="29"/>
      <c r="K100" s="29"/>
      <c r="L100" s="143"/>
      <c r="M100" s="29"/>
      <c r="N100" s="29"/>
      <c r="O100" s="27"/>
      <c r="P100" s="27"/>
      <c r="Q100" s="27"/>
      <c r="R100" s="142"/>
      <c r="S100" s="31"/>
      <c r="T100" s="31"/>
      <c r="U100" s="31"/>
      <c r="V100" s="31"/>
      <c r="W100" s="31"/>
      <c r="X100" s="31"/>
      <c r="Y100" s="31"/>
      <c r="Z100" s="31"/>
      <c r="AA100" s="31"/>
      <c r="AB100" s="31"/>
      <c r="AC100" s="31"/>
      <c r="AD100" s="31"/>
      <c r="AE100" s="31"/>
      <c r="AF100" s="31"/>
      <c r="AG100" s="31"/>
      <c r="AH100" s="31"/>
      <c r="AI100" s="31"/>
      <c r="AJ100" s="31"/>
      <c r="AK100" s="31"/>
    </row>
    <row r="101" spans="1:37" ht="15.75" customHeight="1">
      <c r="A101" s="27"/>
      <c r="B101" s="27"/>
      <c r="C101" s="31"/>
      <c r="D101" s="31"/>
      <c r="E101" s="31"/>
      <c r="F101" s="31"/>
      <c r="G101" s="31"/>
      <c r="H101" s="131"/>
      <c r="I101" s="27"/>
      <c r="J101" s="29"/>
      <c r="K101" s="29"/>
      <c r="L101" s="143"/>
      <c r="M101" s="29"/>
      <c r="N101" s="29"/>
      <c r="O101" s="27"/>
      <c r="P101" s="27"/>
      <c r="Q101" s="27"/>
      <c r="R101" s="142"/>
      <c r="S101" s="31"/>
      <c r="T101" s="31"/>
      <c r="U101" s="31"/>
      <c r="V101" s="31"/>
      <c r="W101" s="31"/>
      <c r="X101" s="31"/>
      <c r="Y101" s="31"/>
      <c r="Z101" s="31"/>
      <c r="AA101" s="31"/>
      <c r="AB101" s="31"/>
      <c r="AC101" s="31"/>
      <c r="AD101" s="31"/>
      <c r="AE101" s="31"/>
      <c r="AF101" s="31"/>
      <c r="AG101" s="31"/>
      <c r="AH101" s="31"/>
      <c r="AI101" s="31"/>
      <c r="AJ101" s="31"/>
      <c r="AK101" s="31"/>
    </row>
    <row r="102" spans="1:37" ht="15.75" customHeight="1">
      <c r="A102" s="27"/>
      <c r="B102" s="27"/>
      <c r="C102" s="31"/>
      <c r="D102" s="31"/>
      <c r="E102" s="31"/>
      <c r="F102" s="31"/>
      <c r="G102" s="31"/>
      <c r="H102" s="131"/>
      <c r="I102" s="27"/>
      <c r="J102" s="29"/>
      <c r="K102" s="29"/>
      <c r="L102" s="143"/>
      <c r="M102" s="29"/>
      <c r="N102" s="29"/>
      <c r="O102" s="27"/>
      <c r="P102" s="27"/>
      <c r="Q102" s="27"/>
      <c r="R102" s="142"/>
      <c r="S102" s="31"/>
      <c r="T102" s="31"/>
      <c r="U102" s="31"/>
      <c r="V102" s="31"/>
      <c r="W102" s="31"/>
      <c r="X102" s="31"/>
      <c r="Y102" s="31"/>
      <c r="Z102" s="31"/>
      <c r="AA102" s="31"/>
      <c r="AB102" s="31"/>
      <c r="AC102" s="31"/>
      <c r="AD102" s="31"/>
      <c r="AE102" s="31"/>
      <c r="AF102" s="31"/>
      <c r="AG102" s="31"/>
      <c r="AH102" s="31"/>
      <c r="AI102" s="31"/>
      <c r="AJ102" s="31"/>
      <c r="AK102" s="31"/>
    </row>
    <row r="103" spans="1:37" ht="15.75" customHeight="1">
      <c r="A103" s="27"/>
      <c r="B103" s="27"/>
      <c r="C103" s="31"/>
      <c r="D103" s="31"/>
      <c r="E103" s="31"/>
      <c r="F103" s="31"/>
      <c r="G103" s="31"/>
      <c r="H103" s="131"/>
      <c r="I103" s="27"/>
      <c r="J103" s="29"/>
      <c r="K103" s="29"/>
      <c r="L103" s="143"/>
      <c r="M103" s="29"/>
      <c r="N103" s="29"/>
      <c r="O103" s="27"/>
      <c r="P103" s="27"/>
      <c r="Q103" s="27"/>
      <c r="R103" s="142"/>
      <c r="S103" s="31"/>
      <c r="T103" s="31"/>
      <c r="U103" s="31"/>
      <c r="V103" s="31"/>
      <c r="W103" s="31"/>
      <c r="X103" s="31"/>
      <c r="Y103" s="31"/>
      <c r="Z103" s="31"/>
      <c r="AA103" s="31"/>
      <c r="AB103" s="31"/>
      <c r="AC103" s="31"/>
      <c r="AD103" s="31"/>
      <c r="AE103" s="31"/>
      <c r="AF103" s="31"/>
      <c r="AG103" s="31"/>
      <c r="AH103" s="31"/>
      <c r="AI103" s="31"/>
      <c r="AJ103" s="31"/>
      <c r="AK103" s="31"/>
    </row>
    <row r="104" spans="1:37" ht="15.75" customHeight="1">
      <c r="A104" s="27"/>
      <c r="B104" s="27"/>
      <c r="C104" s="31"/>
      <c r="D104" s="31"/>
      <c r="E104" s="31"/>
      <c r="F104" s="31"/>
      <c r="G104" s="31"/>
      <c r="H104" s="131"/>
      <c r="I104" s="27"/>
      <c r="J104" s="29"/>
      <c r="K104" s="29"/>
      <c r="L104" s="143"/>
      <c r="M104" s="29"/>
      <c r="N104" s="29"/>
      <c r="O104" s="27"/>
      <c r="P104" s="27"/>
      <c r="Q104" s="27"/>
      <c r="R104" s="142"/>
      <c r="S104" s="31"/>
      <c r="T104" s="31"/>
      <c r="U104" s="31"/>
      <c r="V104" s="31"/>
      <c r="W104" s="31"/>
      <c r="X104" s="31"/>
      <c r="Y104" s="31"/>
      <c r="Z104" s="31"/>
      <c r="AA104" s="31"/>
      <c r="AB104" s="31"/>
      <c r="AC104" s="31"/>
      <c r="AD104" s="31"/>
      <c r="AE104" s="31"/>
      <c r="AF104" s="31"/>
      <c r="AG104" s="31"/>
      <c r="AH104" s="31"/>
      <c r="AI104" s="31"/>
      <c r="AJ104" s="31"/>
      <c r="AK104" s="31"/>
    </row>
    <row r="105" spans="1:37" ht="15.75" customHeight="1">
      <c r="A105" s="27"/>
      <c r="B105" s="27"/>
      <c r="C105" s="31"/>
      <c r="D105" s="31"/>
      <c r="E105" s="31"/>
      <c r="F105" s="31"/>
      <c r="G105" s="31"/>
      <c r="H105" s="131"/>
      <c r="I105" s="27"/>
      <c r="J105" s="29"/>
      <c r="K105" s="29"/>
      <c r="L105" s="143"/>
      <c r="M105" s="29"/>
      <c r="N105" s="29"/>
      <c r="O105" s="27"/>
      <c r="P105" s="27"/>
      <c r="Q105" s="27"/>
      <c r="R105" s="142"/>
      <c r="S105" s="31"/>
      <c r="T105" s="31"/>
      <c r="U105" s="31"/>
      <c r="V105" s="31"/>
      <c r="W105" s="31"/>
      <c r="X105" s="31"/>
      <c r="Y105" s="31"/>
      <c r="Z105" s="31"/>
      <c r="AA105" s="31"/>
      <c r="AB105" s="31"/>
      <c r="AC105" s="31"/>
      <c r="AD105" s="31"/>
      <c r="AE105" s="31"/>
      <c r="AF105" s="31"/>
      <c r="AG105" s="31"/>
      <c r="AH105" s="31"/>
      <c r="AI105" s="31"/>
      <c r="AJ105" s="31"/>
      <c r="AK105" s="31"/>
    </row>
    <row r="106" spans="1:37" ht="15.75" customHeight="1">
      <c r="A106" s="27"/>
      <c r="B106" s="27"/>
      <c r="C106" s="31"/>
      <c r="D106" s="31"/>
      <c r="E106" s="31"/>
      <c r="F106" s="31"/>
      <c r="G106" s="31"/>
      <c r="H106" s="131"/>
      <c r="I106" s="27"/>
      <c r="J106" s="29"/>
      <c r="K106" s="29"/>
      <c r="L106" s="143"/>
      <c r="M106" s="29"/>
      <c r="N106" s="29"/>
      <c r="O106" s="27"/>
      <c r="P106" s="27"/>
      <c r="Q106" s="27"/>
      <c r="R106" s="142"/>
      <c r="S106" s="31"/>
      <c r="T106" s="31"/>
      <c r="U106" s="31"/>
      <c r="V106" s="31"/>
      <c r="W106" s="31"/>
      <c r="X106" s="31"/>
      <c r="Y106" s="31"/>
      <c r="Z106" s="31"/>
      <c r="AA106" s="31"/>
      <c r="AB106" s="31"/>
      <c r="AC106" s="31"/>
      <c r="AD106" s="31"/>
      <c r="AE106" s="31"/>
      <c r="AF106" s="31"/>
      <c r="AG106" s="31"/>
      <c r="AH106" s="31"/>
      <c r="AI106" s="31"/>
      <c r="AJ106" s="31"/>
      <c r="AK106" s="31"/>
    </row>
    <row r="107" spans="1:37" ht="15.75" customHeight="1">
      <c r="A107" s="27"/>
      <c r="B107" s="27"/>
      <c r="C107" s="31"/>
      <c r="D107" s="31"/>
      <c r="E107" s="31"/>
      <c r="F107" s="31"/>
      <c r="G107" s="31"/>
      <c r="H107" s="131"/>
      <c r="I107" s="27"/>
      <c r="J107" s="29"/>
      <c r="K107" s="29"/>
      <c r="L107" s="143"/>
      <c r="M107" s="29"/>
      <c r="N107" s="29"/>
      <c r="O107" s="27"/>
      <c r="P107" s="27"/>
      <c r="Q107" s="27"/>
      <c r="R107" s="142"/>
      <c r="S107" s="31"/>
      <c r="T107" s="31"/>
      <c r="U107" s="31"/>
      <c r="V107" s="31"/>
      <c r="W107" s="31"/>
      <c r="X107" s="31"/>
      <c r="Y107" s="31"/>
      <c r="Z107" s="31"/>
      <c r="AA107" s="31"/>
      <c r="AB107" s="31"/>
      <c r="AC107" s="31"/>
      <c r="AD107" s="31"/>
      <c r="AE107" s="31"/>
      <c r="AF107" s="31"/>
      <c r="AG107" s="31"/>
      <c r="AH107" s="31"/>
      <c r="AI107" s="31"/>
      <c r="AJ107" s="31"/>
      <c r="AK107" s="31"/>
    </row>
    <row r="108" spans="1:37" ht="15.75" customHeight="1">
      <c r="A108" s="27"/>
      <c r="B108" s="27"/>
      <c r="C108" s="31"/>
      <c r="D108" s="31"/>
      <c r="E108" s="31"/>
      <c r="F108" s="31"/>
      <c r="G108" s="31"/>
      <c r="H108" s="131"/>
      <c r="I108" s="27"/>
      <c r="J108" s="29"/>
      <c r="K108" s="29"/>
      <c r="L108" s="143"/>
      <c r="M108" s="29"/>
      <c r="N108" s="29"/>
      <c r="O108" s="27"/>
      <c r="P108" s="27"/>
      <c r="Q108" s="27"/>
      <c r="R108" s="142"/>
      <c r="S108" s="31"/>
      <c r="T108" s="31"/>
      <c r="U108" s="31"/>
      <c r="V108" s="31"/>
      <c r="W108" s="31"/>
      <c r="X108" s="31"/>
      <c r="Y108" s="31"/>
      <c r="Z108" s="31"/>
      <c r="AA108" s="31"/>
      <c r="AB108" s="31"/>
      <c r="AC108" s="31"/>
      <c r="AD108" s="31"/>
      <c r="AE108" s="31"/>
      <c r="AF108" s="31"/>
      <c r="AG108" s="31"/>
      <c r="AH108" s="31"/>
      <c r="AI108" s="31"/>
      <c r="AJ108" s="31"/>
      <c r="AK108" s="31"/>
    </row>
    <row r="109" spans="1:37" ht="15.75" customHeight="1">
      <c r="A109" s="27"/>
      <c r="B109" s="27"/>
      <c r="C109" s="31"/>
      <c r="D109" s="31"/>
      <c r="E109" s="31"/>
      <c r="F109" s="31"/>
      <c r="G109" s="31"/>
      <c r="H109" s="131"/>
      <c r="I109" s="27"/>
      <c r="J109" s="29"/>
      <c r="K109" s="29"/>
      <c r="L109" s="143"/>
      <c r="M109" s="29"/>
      <c r="N109" s="29"/>
      <c r="O109" s="27"/>
      <c r="P109" s="27"/>
      <c r="Q109" s="27"/>
      <c r="R109" s="142"/>
      <c r="S109" s="31"/>
      <c r="T109" s="31"/>
      <c r="U109" s="31"/>
      <c r="V109" s="31"/>
      <c r="W109" s="31"/>
      <c r="X109" s="31"/>
      <c r="Y109" s="31"/>
      <c r="Z109" s="31"/>
      <c r="AA109" s="31"/>
      <c r="AB109" s="31"/>
      <c r="AC109" s="31"/>
      <c r="AD109" s="31"/>
      <c r="AE109" s="31"/>
      <c r="AF109" s="31"/>
      <c r="AG109" s="31"/>
      <c r="AH109" s="31"/>
      <c r="AI109" s="31"/>
      <c r="AJ109" s="31"/>
      <c r="AK109" s="31"/>
    </row>
    <row r="110" spans="1:37" ht="15.75" customHeight="1">
      <c r="A110" s="27"/>
      <c r="B110" s="27"/>
      <c r="C110" s="31"/>
      <c r="D110" s="31"/>
      <c r="E110" s="31"/>
      <c r="F110" s="31"/>
      <c r="G110" s="31"/>
      <c r="H110" s="131"/>
      <c r="I110" s="27"/>
      <c r="J110" s="29"/>
      <c r="K110" s="29"/>
      <c r="L110" s="143"/>
      <c r="M110" s="29"/>
      <c r="N110" s="29"/>
      <c r="O110" s="27"/>
      <c r="P110" s="27"/>
      <c r="Q110" s="27"/>
      <c r="R110" s="142"/>
      <c r="S110" s="31"/>
      <c r="T110" s="31"/>
      <c r="U110" s="31"/>
      <c r="V110" s="31"/>
      <c r="W110" s="31"/>
      <c r="X110" s="31"/>
      <c r="Y110" s="31"/>
      <c r="Z110" s="31"/>
      <c r="AA110" s="31"/>
      <c r="AB110" s="31"/>
      <c r="AC110" s="31"/>
      <c r="AD110" s="31"/>
      <c r="AE110" s="31"/>
      <c r="AF110" s="31"/>
      <c r="AG110" s="31"/>
      <c r="AH110" s="31"/>
      <c r="AI110" s="31"/>
      <c r="AJ110" s="31"/>
      <c r="AK110" s="31"/>
    </row>
    <row r="111" spans="1:37" ht="15.75" customHeight="1">
      <c r="A111" s="27"/>
      <c r="B111" s="27"/>
      <c r="C111" s="31"/>
      <c r="D111" s="31"/>
      <c r="E111" s="31"/>
      <c r="F111" s="31"/>
      <c r="G111" s="31"/>
      <c r="H111" s="131"/>
      <c r="I111" s="27"/>
      <c r="J111" s="29"/>
      <c r="K111" s="29"/>
      <c r="L111" s="143"/>
      <c r="M111" s="29"/>
      <c r="N111" s="29"/>
      <c r="O111" s="27"/>
      <c r="P111" s="27"/>
      <c r="Q111" s="27"/>
      <c r="R111" s="142"/>
      <c r="S111" s="31"/>
      <c r="T111" s="31"/>
      <c r="U111" s="31"/>
      <c r="V111" s="31"/>
      <c r="W111" s="31"/>
      <c r="X111" s="31"/>
      <c r="Y111" s="31"/>
      <c r="Z111" s="31"/>
      <c r="AA111" s="31"/>
      <c r="AB111" s="31"/>
      <c r="AC111" s="31"/>
      <c r="AD111" s="31"/>
      <c r="AE111" s="31"/>
      <c r="AF111" s="31"/>
      <c r="AG111" s="31"/>
      <c r="AH111" s="31"/>
      <c r="AI111" s="31"/>
      <c r="AJ111" s="31"/>
      <c r="AK111" s="31"/>
    </row>
    <row r="112" spans="1:37" ht="15.75" customHeight="1">
      <c r="A112" s="27"/>
      <c r="B112" s="27"/>
      <c r="C112" s="31"/>
      <c r="D112" s="31"/>
      <c r="E112" s="31"/>
      <c r="F112" s="31"/>
      <c r="G112" s="31"/>
      <c r="H112" s="131"/>
      <c r="I112" s="27"/>
      <c r="J112" s="29"/>
      <c r="K112" s="29"/>
      <c r="L112" s="143"/>
      <c r="M112" s="29"/>
      <c r="N112" s="29"/>
      <c r="O112" s="27"/>
      <c r="P112" s="27"/>
      <c r="Q112" s="27"/>
      <c r="R112" s="142"/>
      <c r="S112" s="31"/>
      <c r="T112" s="31"/>
      <c r="U112" s="31"/>
      <c r="V112" s="31"/>
      <c r="W112" s="31"/>
      <c r="X112" s="31"/>
      <c r="Y112" s="31"/>
      <c r="Z112" s="31"/>
      <c r="AA112" s="31"/>
      <c r="AB112" s="31"/>
      <c r="AC112" s="31"/>
      <c r="AD112" s="31"/>
      <c r="AE112" s="31"/>
      <c r="AF112" s="31"/>
      <c r="AG112" s="31"/>
      <c r="AH112" s="31"/>
      <c r="AI112" s="31"/>
      <c r="AJ112" s="31"/>
      <c r="AK112" s="31"/>
    </row>
  </sheetData>
  <autoFilter ref="A1:S7" xr:uid="{36D287BF-B87F-41CC-BCCC-345662E9C89C}"/>
  <hyperlinks>
    <hyperlink ref="C5" r:id="rId1" xr:uid="{6491D097-5A76-4188-8833-928AB811263C}"/>
    <hyperlink ref="C6" r:id="rId2" xr:uid="{72F34A71-902B-4795-A85D-E94EF51CD8BB}"/>
    <hyperlink ref="C7" r:id="rId3" xr:uid="{1C0F12A5-4703-4374-8722-CBA1CB9386CE}"/>
    <hyperlink ref="C8" r:id="rId4" xr:uid="{50878423-8A0D-43A5-B6B0-6D5F11AEEF00}"/>
    <hyperlink ref="C11" r:id="rId5" xr:uid="{9A52D685-FC16-4790-A30C-5CB0445831F1}"/>
    <hyperlink ref="C12" r:id="rId6" xr:uid="{8831F1D2-D709-4AD2-9A15-37E2095D58A4}"/>
    <hyperlink ref="C14" r:id="rId7" xr:uid="{1C4B82BB-35F9-4568-BF8B-E26BB7C07725}"/>
    <hyperlink ref="C15" r:id="rId8" xr:uid="{452E75E1-F745-4D08-B1D3-4265C5CFCD79}"/>
    <hyperlink ref="C18" r:id="rId9" xr:uid="{E6B55BDA-1707-4AFA-A471-5C24AE6EBA88}"/>
    <hyperlink ref="C20" r:id="rId10" xr:uid="{F2528809-E5F8-4345-8064-911F7BCE93BF}"/>
    <hyperlink ref="C21" r:id="rId11" xr:uid="{1A204108-76DC-486C-9F2D-6F529995805A}"/>
    <hyperlink ref="C24" r:id="rId12" xr:uid="{4EFCC400-9CB2-4B8D-9DE4-014F94D42BD3}"/>
    <hyperlink ref="C26" r:id="rId13" xr:uid="{CD48F528-B93B-4C27-85DE-3A969B598B39}"/>
    <hyperlink ref="C27" r:id="rId14" xr:uid="{47B1804A-2449-4275-AE24-033373B33E72}"/>
    <hyperlink ref="C29" r:id="rId15" xr:uid="{5AC48E35-50A5-499E-83B7-8116B7670FF4}"/>
    <hyperlink ref="C31" r:id="rId16" xr:uid="{A038CF09-5D19-4953-AEE0-ECEE629EC818}"/>
    <hyperlink ref="C33" r:id="rId17" xr:uid="{AACD4E9F-4F47-4F28-BB5C-9FC072513966}"/>
    <hyperlink ref="C32" r:id="rId18" xr:uid="{19AACB6B-3C42-4179-80EE-50EDFB6EA03E}"/>
    <hyperlink ref="C35" r:id="rId19" xr:uid="{24BDAA7E-2D16-478F-B483-50E30FF06482}"/>
    <hyperlink ref="C34" r:id="rId20" xr:uid="{A2237A3B-BCD7-4461-AF2B-DA240CA914FD}"/>
    <hyperlink ref="C45" r:id="rId21" xr:uid="{9BF072B1-253A-4636-8C18-A5E70773E365}"/>
    <hyperlink ref="C3" r:id="rId22" xr:uid="{F83717FE-A46B-4BB2-A4B3-BEAEA3E0CF56}"/>
    <hyperlink ref="C63" r:id="rId23" xr:uid="{C930C741-211E-4B32-A3B4-872F2DE4E5E7}"/>
    <hyperlink ref="C44" r:id="rId24" xr:uid="{F6E0052E-5BCC-4F7C-8766-A2A5135481AD}"/>
    <hyperlink ref="C36" r:id="rId25" xr:uid="{3C3D07A0-DF8F-49A5-A307-975A3B274D36}"/>
    <hyperlink ref="C38" r:id="rId26" xr:uid="{CB962CEF-1183-42C5-A041-8BF938491754}"/>
    <hyperlink ref="C39" r:id="rId27" xr:uid="{EA981CC5-2FC0-446D-8390-4F5BEC3A68ED}"/>
    <hyperlink ref="C40" r:id="rId28" xr:uid="{CD8EA3DC-507F-4F27-895F-50A72E388706}"/>
    <hyperlink ref="C42" r:id="rId29" xr:uid="{4E9F4BC0-402B-4274-BB27-00C085A38A95}"/>
    <hyperlink ref="C43" r:id="rId30" xr:uid="{3CFBBB38-5D53-43BC-A57F-6CBF18916860}"/>
    <hyperlink ref="C81" r:id="rId31" xr:uid="{8632E027-0F91-4985-AAFC-12C62078B2F0}"/>
    <hyperlink ref="C82" r:id="rId32" xr:uid="{A8E4BB7F-93C2-4313-A6A7-0FAC0F730C40}"/>
    <hyperlink ref="C83" r:id="rId33" xr:uid="{3007C6C3-7868-48E3-9F69-42148BE121E8}"/>
    <hyperlink ref="C47" r:id="rId34" xr:uid="{B7461744-A162-400F-A8BB-7368A29539E6}"/>
    <hyperlink ref="C77" r:id="rId35" xr:uid="{FFBD595C-1752-4912-BC97-C3EA0658BFBE}"/>
    <hyperlink ref="C78" r:id="rId36" xr:uid="{E8199B37-6C12-409C-B705-CED80DE7289B}"/>
    <hyperlink ref="C79" r:id="rId37" xr:uid="{E442E484-259F-4296-B24A-4A07F377D7FA}"/>
    <hyperlink ref="C80" r:id="rId38" xr:uid="{2C126FB1-BA59-415F-AFB0-3637BB6EB05A}"/>
    <hyperlink ref="C46" r:id="rId39" xr:uid="{D8CCBA3A-0CFE-46E1-BC74-AB785C61051E}"/>
    <hyperlink ref="C49" r:id="rId40" xr:uid="{3700D985-C239-4E10-8337-70CAD7AD130F}"/>
    <hyperlink ref="C50" r:id="rId41" xr:uid="{D47ED026-F671-4F14-B77F-AF5FF7E317B4}"/>
    <hyperlink ref="C85" r:id="rId42" xr:uid="{007666F7-3CBB-4737-8FFC-752939E8080C}"/>
    <hyperlink ref="C86" r:id="rId43" xr:uid="{65144473-D01A-4112-883C-AEC24D6E0233}"/>
    <hyperlink ref="C52" r:id="rId44" xr:uid="{B2168CA8-B2AB-4F0C-AD3E-F347CECBF49F}"/>
    <hyperlink ref="C51" r:id="rId45" xr:uid="{43BF6CA6-F522-4F4C-8E72-9ED7CBC7C9F3}"/>
    <hyperlink ref="C87" r:id="rId46" xr:uid="{D438EF31-A9B6-4545-A50F-9FCDBF5332A8}"/>
    <hyperlink ref="C88" r:id="rId47" xr:uid="{1DFD7D3E-2920-4C9B-8B13-04329900D0E8}"/>
    <hyperlink ref="C55" r:id="rId48" xr:uid="{5F01AD2A-48F1-4292-8CF5-D67A3D8B3149}"/>
    <hyperlink ref="C56" r:id="rId49" xr:uid="{AB420EE8-5994-4179-9710-42948ECFA424}"/>
    <hyperlink ref="C57" r:id="rId50" xr:uid="{89D9FF4A-E7F6-4880-A0C2-39A3223B9A4E}"/>
    <hyperlink ref="C58" r:id="rId51" xr:uid="{9524466F-FBDE-4BCD-8C7C-563FB200545C}"/>
    <hyperlink ref="C59" r:id="rId52" xr:uid="{C84976C5-F3FB-4FA2-8A17-B915F59D3203}"/>
    <hyperlink ref="C60" r:id="rId53" xr:uid="{1B1180BD-AE57-418F-A969-73C09C89B4AC}"/>
    <hyperlink ref="C61" r:id="rId54" xr:uid="{BCF143AD-C857-4ED3-81C7-A1D46E161BFC}"/>
    <hyperlink ref="C62" r:id="rId55" xr:uid="{8D03F528-96B7-424B-957B-84286B0B1998}"/>
    <hyperlink ref="C41" r:id="rId56" xr:uid="{80AEF6F1-DA83-43B4-A70E-FEC300C6B3B9}"/>
    <hyperlink ref="C84" r:id="rId57" xr:uid="{3CCD0640-CB88-4ADF-AE5E-741CAA7F9A51}"/>
    <hyperlink ref="C54" r:id="rId58" xr:uid="{2124CDFE-2D61-4D08-8F07-9BF518965049}"/>
    <hyperlink ref="C53" r:id="rId59" xr:uid="{14E9393B-1834-43AA-BAB5-F89D96789A12}"/>
    <hyperlink ref="C2" r:id="rId60" xr:uid="{603C6E53-65A1-4F13-BA92-BE9529E91F06}"/>
    <hyperlink ref="C64" r:id="rId61" xr:uid="{DCF9C174-1624-49D6-819C-E510A073FFA8}"/>
    <hyperlink ref="C65" r:id="rId62" xr:uid="{193E1409-A087-41D5-9B4D-76E5305322E2}"/>
    <hyperlink ref="C66" r:id="rId63" xr:uid="{C68F76BA-C697-4D45-9FE7-3688764D683E}"/>
    <hyperlink ref="C67" r:id="rId64" xr:uid="{F1A47608-E3F4-4EF1-A206-A07E4D4C3112}"/>
  </hyperlinks>
  <pageMargins left="0.7" right="0.7" top="0.75" bottom="0.75" header="0.3" footer="0.3"/>
  <pageSetup orientation="portrait" r:id="rId6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782F-8BB7-4471-A0A9-FC89DFEE1CFE}">
  <dimension ref="A1:AL75"/>
  <sheetViews>
    <sheetView topLeftCell="B1" zoomScale="85" zoomScaleNormal="85" workbookViewId="0">
      <pane ySplit="2" topLeftCell="A75" activePane="bottomLeft" state="frozen"/>
      <selection activeCell="E1" sqref="E1"/>
      <selection pane="bottomLeft" activeCell="A75" sqref="A75"/>
    </sheetView>
  </sheetViews>
  <sheetFormatPr defaultColWidth="9.77734375" defaultRowHeight="15.75" customHeight="1"/>
  <cols>
    <col min="1" max="1" width="59.44140625" style="23" customWidth="1"/>
    <col min="2" max="2" width="25.77734375" style="34" customWidth="1"/>
    <col min="3" max="3" width="41.6640625" style="23" customWidth="1"/>
    <col min="4" max="4" width="36.88671875" style="23" bestFit="1" customWidth="1"/>
    <col min="5" max="5" width="22.21875" style="23" customWidth="1"/>
    <col min="6" max="6" width="23.6640625" style="23" customWidth="1"/>
    <col min="7" max="7" width="20.109375" style="23" customWidth="1"/>
    <col min="8" max="8" width="20.77734375" style="23" customWidth="1"/>
    <col min="9" max="9" width="43.33203125" style="32" customWidth="1"/>
    <col min="10" max="10" width="17.21875" style="34" customWidth="1"/>
    <col min="11" max="11" width="31.109375" style="32" customWidth="1"/>
    <col min="12" max="12" width="16.44140625" style="32" customWidth="1"/>
    <col min="13" max="13" width="17.44140625" style="34" customWidth="1"/>
    <col min="14" max="15" width="10.6640625" style="33" customWidth="1"/>
    <col min="16" max="17" width="9.77734375" style="34"/>
    <col min="18" max="18" width="9.77734375" style="23"/>
    <col min="19" max="19" width="67.77734375" style="23" customWidth="1"/>
    <col min="20" max="20" width="17.44140625" style="23" customWidth="1"/>
    <col min="21" max="16384" width="9.77734375" style="23"/>
  </cols>
  <sheetData>
    <row r="1" spans="1:22" ht="15.6" customHeight="1">
      <c r="A1" s="311" t="s">
        <v>1008</v>
      </c>
      <c r="B1" s="309" t="s">
        <v>0</v>
      </c>
      <c r="C1" s="309" t="s">
        <v>665</v>
      </c>
      <c r="D1" s="309" t="s">
        <v>629</v>
      </c>
      <c r="E1" s="309" t="s">
        <v>630</v>
      </c>
      <c r="F1" s="309" t="s">
        <v>631</v>
      </c>
      <c r="G1" s="309" t="s">
        <v>666</v>
      </c>
      <c r="H1" s="309" t="s">
        <v>657</v>
      </c>
      <c r="I1" s="312" t="s">
        <v>667</v>
      </c>
      <c r="J1" s="312" t="s">
        <v>668</v>
      </c>
      <c r="K1" s="312" t="s">
        <v>656</v>
      </c>
      <c r="L1" s="312" t="s">
        <v>669</v>
      </c>
      <c r="M1" s="313" t="s">
        <v>1009</v>
      </c>
      <c r="N1" s="310" t="s">
        <v>671</v>
      </c>
      <c r="O1" s="310" t="s">
        <v>672</v>
      </c>
      <c r="P1" s="310" t="s">
        <v>673</v>
      </c>
      <c r="Q1" s="310" t="s">
        <v>674</v>
      </c>
      <c r="R1" s="310" t="s">
        <v>675</v>
      </c>
      <c r="S1" s="311" t="s">
        <v>3</v>
      </c>
      <c r="T1" s="309" t="s">
        <v>676</v>
      </c>
      <c r="U1" s="44"/>
      <c r="V1" s="44"/>
    </row>
    <row r="2" spans="1:22" ht="15.6">
      <c r="A2" s="311"/>
      <c r="B2" s="309"/>
      <c r="C2" s="309"/>
      <c r="D2" s="309"/>
      <c r="E2" s="309"/>
      <c r="F2" s="309"/>
      <c r="G2" s="309"/>
      <c r="H2" s="309"/>
      <c r="I2" s="312"/>
      <c r="J2" s="312"/>
      <c r="K2" s="312"/>
      <c r="L2" s="312"/>
      <c r="M2" s="313"/>
      <c r="N2" s="310"/>
      <c r="O2" s="310"/>
      <c r="P2" s="310"/>
      <c r="Q2" s="310"/>
      <c r="R2" s="310"/>
      <c r="S2" s="311"/>
      <c r="T2" s="309"/>
      <c r="U2" s="44"/>
      <c r="V2" s="44"/>
    </row>
    <row r="3" spans="1:22" ht="31.2">
      <c r="A3" s="151" t="s">
        <v>1010</v>
      </c>
      <c r="B3" s="39">
        <v>1</v>
      </c>
      <c r="C3" s="70"/>
      <c r="D3" s="69" t="s">
        <v>1011</v>
      </c>
      <c r="E3" s="70"/>
      <c r="F3" s="70" t="s">
        <v>1012</v>
      </c>
      <c r="G3" s="70"/>
      <c r="H3" s="70"/>
      <c r="I3" s="71"/>
      <c r="J3" s="71" t="s">
        <v>1013</v>
      </c>
      <c r="K3" s="71"/>
      <c r="L3" s="71"/>
      <c r="M3" s="72"/>
      <c r="N3" s="29"/>
      <c r="O3" s="29"/>
      <c r="P3" s="29"/>
      <c r="Q3" s="29"/>
      <c r="R3" s="29"/>
      <c r="S3" s="27"/>
      <c r="T3" s="70"/>
      <c r="U3" s="44"/>
      <c r="V3" s="44"/>
    </row>
    <row r="4" spans="1:22" ht="15.6">
      <c r="A4" s="31" t="s">
        <v>1014</v>
      </c>
      <c r="B4" s="39">
        <f>B3+1</f>
        <v>2</v>
      </c>
      <c r="C4" s="35"/>
      <c r="D4" s="62" t="s">
        <v>1015</v>
      </c>
      <c r="E4" s="24"/>
      <c r="F4" s="24"/>
      <c r="G4" s="24"/>
      <c r="H4" s="24"/>
      <c r="I4" s="42" t="s">
        <v>1016</v>
      </c>
      <c r="J4" s="39" t="s">
        <v>682</v>
      </c>
      <c r="K4" s="42"/>
      <c r="L4" s="42"/>
      <c r="M4" s="94" t="s">
        <v>1017</v>
      </c>
      <c r="N4" s="29" t="s">
        <v>803</v>
      </c>
      <c r="O4" s="29"/>
      <c r="P4" s="27">
        <v>3520</v>
      </c>
      <c r="Q4" s="27" t="s">
        <v>803</v>
      </c>
      <c r="R4" s="31" t="s">
        <v>803</v>
      </c>
      <c r="S4" s="36" t="s">
        <v>1018</v>
      </c>
      <c r="T4" s="30"/>
      <c r="U4" s="44"/>
      <c r="V4" s="44"/>
    </row>
    <row r="5" spans="1:22" ht="15.6">
      <c r="A5" s="31" t="s">
        <v>803</v>
      </c>
      <c r="B5" s="39">
        <f>B4+1</f>
        <v>3</v>
      </c>
      <c r="C5" s="37"/>
      <c r="D5" s="63" t="s">
        <v>1019</v>
      </c>
      <c r="E5" s="38"/>
      <c r="F5" s="38"/>
      <c r="G5" s="38"/>
      <c r="H5" s="38"/>
      <c r="I5" s="42" t="s">
        <v>1020</v>
      </c>
      <c r="J5" s="39" t="s">
        <v>682</v>
      </c>
      <c r="K5" s="42"/>
      <c r="L5" s="42"/>
      <c r="M5" s="39"/>
      <c r="N5" s="29"/>
      <c r="O5" s="29"/>
      <c r="P5" s="27"/>
      <c r="Q5" s="27"/>
      <c r="R5" s="31"/>
      <c r="S5" s="36" t="s">
        <v>1018</v>
      </c>
      <c r="T5" s="30" t="s">
        <v>700</v>
      </c>
      <c r="U5" s="44"/>
      <c r="V5" s="44"/>
    </row>
    <row r="6" spans="1:22" ht="15.6">
      <c r="A6" s="31" t="s">
        <v>803</v>
      </c>
      <c r="B6" s="39">
        <f t="shared" ref="B6:B23" si="0">B5+1</f>
        <v>4</v>
      </c>
      <c r="C6" s="40"/>
      <c r="D6" s="62" t="s">
        <v>1021</v>
      </c>
      <c r="E6" s="41" t="s">
        <v>1022</v>
      </c>
      <c r="F6" s="41" t="s">
        <v>1023</v>
      </c>
      <c r="G6" s="41"/>
      <c r="H6" s="41" t="s">
        <v>1024</v>
      </c>
      <c r="I6" s="42" t="s">
        <v>1025</v>
      </c>
      <c r="J6" s="39" t="s">
        <v>682</v>
      </c>
      <c r="K6" s="28" t="s">
        <v>683</v>
      </c>
      <c r="L6" s="28"/>
      <c r="M6" s="94" t="s">
        <v>1026</v>
      </c>
      <c r="N6" s="29" t="s">
        <v>803</v>
      </c>
      <c r="O6" s="29" t="s">
        <v>803</v>
      </c>
      <c r="P6" s="27">
        <v>5430</v>
      </c>
      <c r="Q6" s="43"/>
      <c r="R6" s="31"/>
      <c r="S6" s="36" t="s">
        <v>1018</v>
      </c>
      <c r="T6" s="30"/>
      <c r="U6" s="44"/>
      <c r="V6" s="44"/>
    </row>
    <row r="7" spans="1:22" ht="15.6">
      <c r="A7" s="31" t="s">
        <v>803</v>
      </c>
      <c r="B7" s="39">
        <f t="shared" si="0"/>
        <v>5</v>
      </c>
      <c r="C7" s="45"/>
      <c r="D7" s="63" t="s">
        <v>1027</v>
      </c>
      <c r="E7" s="41" t="s">
        <v>1028</v>
      </c>
      <c r="F7" s="41" t="s">
        <v>1029</v>
      </c>
      <c r="G7" s="41"/>
      <c r="H7" s="41" t="s">
        <v>1030</v>
      </c>
      <c r="I7" s="42" t="s">
        <v>1031</v>
      </c>
      <c r="J7" s="39" t="s">
        <v>682</v>
      </c>
      <c r="K7" s="28" t="s">
        <v>683</v>
      </c>
      <c r="L7" s="28"/>
      <c r="M7" s="94" t="s">
        <v>1032</v>
      </c>
      <c r="N7" s="29"/>
      <c r="O7" s="29"/>
      <c r="P7" s="27"/>
      <c r="Q7" s="27"/>
      <c r="R7" s="31"/>
      <c r="S7" s="36" t="s">
        <v>1018</v>
      </c>
      <c r="T7" s="30" t="s">
        <v>757</v>
      </c>
      <c r="U7" s="44"/>
      <c r="V7" s="44"/>
    </row>
    <row r="8" spans="1:22" ht="15.6">
      <c r="A8" s="31" t="s">
        <v>803</v>
      </c>
      <c r="B8" s="39">
        <f t="shared" si="0"/>
        <v>6</v>
      </c>
      <c r="C8" s="46"/>
      <c r="D8" s="63" t="s">
        <v>1033</v>
      </c>
      <c r="E8" s="41" t="s">
        <v>1034</v>
      </c>
      <c r="F8" s="41" t="s">
        <v>1035</v>
      </c>
      <c r="G8" s="41"/>
      <c r="H8" s="41" t="s">
        <v>664</v>
      </c>
      <c r="I8" s="42" t="s">
        <v>1036</v>
      </c>
      <c r="J8" s="39" t="s">
        <v>682</v>
      </c>
      <c r="K8" s="28" t="s">
        <v>683</v>
      </c>
      <c r="L8" s="28"/>
      <c r="M8" s="94" t="s">
        <v>1032</v>
      </c>
      <c r="N8" s="29"/>
      <c r="O8" s="29"/>
      <c r="P8" s="27"/>
      <c r="Q8" s="27"/>
      <c r="R8" s="31"/>
      <c r="S8" s="36" t="s">
        <v>1018</v>
      </c>
      <c r="T8" s="30" t="s">
        <v>712</v>
      </c>
      <c r="U8" s="44"/>
      <c r="V8" s="44"/>
    </row>
    <row r="9" spans="1:22" ht="15.6">
      <c r="A9" s="31" t="s">
        <v>803</v>
      </c>
      <c r="B9" s="39">
        <f t="shared" si="0"/>
        <v>7</v>
      </c>
      <c r="C9" s="40"/>
      <c r="D9" s="62" t="s">
        <v>1037</v>
      </c>
      <c r="E9" s="41" t="s">
        <v>1038</v>
      </c>
      <c r="F9" s="41" t="s">
        <v>1039</v>
      </c>
      <c r="G9" s="41"/>
      <c r="H9" s="41" t="s">
        <v>822</v>
      </c>
      <c r="I9" s="41" t="s">
        <v>822</v>
      </c>
      <c r="J9" s="39"/>
      <c r="K9" s="28" t="s">
        <v>683</v>
      </c>
      <c r="L9" s="28"/>
      <c r="M9" s="94" t="s">
        <v>1032</v>
      </c>
      <c r="N9" s="29"/>
      <c r="O9" s="29"/>
      <c r="P9" s="27"/>
      <c r="Q9" s="43"/>
      <c r="R9" s="31"/>
      <c r="S9" s="36" t="s">
        <v>1018</v>
      </c>
      <c r="T9" s="30"/>
      <c r="U9" s="44"/>
      <c r="V9" s="44"/>
    </row>
    <row r="10" spans="1:22" s="26" customFormat="1" ht="46.8">
      <c r="A10" s="31" t="s">
        <v>803</v>
      </c>
      <c r="B10" s="39">
        <f t="shared" si="0"/>
        <v>8</v>
      </c>
      <c r="C10" s="47"/>
      <c r="D10" s="62" t="s">
        <v>1040</v>
      </c>
      <c r="E10" s="25" t="s">
        <v>1041</v>
      </c>
      <c r="F10" s="25" t="s">
        <v>1042</v>
      </c>
      <c r="G10" s="25"/>
      <c r="H10" s="25" t="s">
        <v>822</v>
      </c>
      <c r="I10" s="42" t="s">
        <v>773</v>
      </c>
      <c r="J10" s="39"/>
      <c r="K10" s="28" t="s">
        <v>683</v>
      </c>
      <c r="L10" s="28"/>
      <c r="M10" s="152" t="s">
        <v>1043</v>
      </c>
      <c r="N10" s="28" t="s">
        <v>803</v>
      </c>
      <c r="O10" s="28" t="s">
        <v>803</v>
      </c>
      <c r="P10" s="28" t="s">
        <v>1044</v>
      </c>
      <c r="Q10" s="39"/>
      <c r="R10" s="30"/>
      <c r="S10" s="36" t="s">
        <v>1018</v>
      </c>
      <c r="T10" s="30"/>
      <c r="U10" s="153"/>
      <c r="V10" s="153"/>
    </row>
    <row r="11" spans="1:22" s="26" customFormat="1" ht="15.6">
      <c r="A11" s="31" t="s">
        <v>803</v>
      </c>
      <c r="B11" s="39">
        <f t="shared" si="0"/>
        <v>9</v>
      </c>
      <c r="C11" s="35"/>
      <c r="D11" s="62" t="s">
        <v>1045</v>
      </c>
      <c r="E11" s="25" t="s">
        <v>1046</v>
      </c>
      <c r="F11" s="25" t="s">
        <v>1047</v>
      </c>
      <c r="G11" s="25"/>
      <c r="H11" s="25" t="s">
        <v>827</v>
      </c>
      <c r="I11" s="42" t="s">
        <v>1048</v>
      </c>
      <c r="J11" s="39" t="s">
        <v>682</v>
      </c>
      <c r="K11" s="28" t="s">
        <v>683</v>
      </c>
      <c r="L11" s="28"/>
      <c r="M11" s="94" t="s">
        <v>1026</v>
      </c>
      <c r="N11" s="28" t="s">
        <v>803</v>
      </c>
      <c r="O11" s="28" t="s">
        <v>803</v>
      </c>
      <c r="P11" s="39">
        <v>5430</v>
      </c>
      <c r="Q11" s="39"/>
      <c r="R11" s="30"/>
      <c r="S11" s="36" t="s">
        <v>1018</v>
      </c>
      <c r="T11" s="30"/>
      <c r="U11" s="153"/>
      <c r="V11" s="153"/>
    </row>
    <row r="12" spans="1:22" s="26" customFormat="1" ht="62.4">
      <c r="A12" s="31" t="s">
        <v>803</v>
      </c>
      <c r="B12" s="39">
        <f t="shared" si="0"/>
        <v>10</v>
      </c>
      <c r="C12" s="47"/>
      <c r="D12" s="62" t="s">
        <v>1049</v>
      </c>
      <c r="E12" s="25" t="s">
        <v>1050</v>
      </c>
      <c r="F12" s="25" t="s">
        <v>1051</v>
      </c>
      <c r="G12" s="25"/>
      <c r="H12" s="25" t="s">
        <v>664</v>
      </c>
      <c r="I12" s="42" t="s">
        <v>833</v>
      </c>
      <c r="J12" s="39"/>
      <c r="K12" s="28" t="s">
        <v>683</v>
      </c>
      <c r="L12" s="28"/>
      <c r="M12" s="152" t="s">
        <v>1052</v>
      </c>
      <c r="N12" s="28" t="s">
        <v>803</v>
      </c>
      <c r="O12" s="28" t="s">
        <v>803</v>
      </c>
      <c r="P12" s="28" t="s">
        <v>1053</v>
      </c>
      <c r="Q12" s="28" t="s">
        <v>1053</v>
      </c>
      <c r="R12" s="30"/>
      <c r="S12" s="36" t="s">
        <v>1018</v>
      </c>
      <c r="T12" s="30"/>
      <c r="U12" s="153"/>
      <c r="V12" s="153"/>
    </row>
    <row r="13" spans="1:22" ht="60.75" customHeight="1">
      <c r="A13" s="31" t="s">
        <v>803</v>
      </c>
      <c r="B13" s="39">
        <f t="shared" si="0"/>
        <v>11</v>
      </c>
      <c r="C13" s="47"/>
      <c r="D13" s="62" t="s">
        <v>1054</v>
      </c>
      <c r="E13" s="181"/>
      <c r="F13" s="181"/>
      <c r="G13" s="181"/>
      <c r="H13" s="181"/>
      <c r="I13" s="131" t="s">
        <v>1055</v>
      </c>
      <c r="J13" s="27" t="s">
        <v>682</v>
      </c>
      <c r="K13" s="29" t="s">
        <v>683</v>
      </c>
      <c r="L13" s="29"/>
      <c r="M13" s="72" t="s">
        <v>1056</v>
      </c>
      <c r="N13" s="29" t="s">
        <v>803</v>
      </c>
      <c r="O13" s="29" t="s">
        <v>803</v>
      </c>
      <c r="P13" s="27">
        <v>5430</v>
      </c>
      <c r="Q13" s="27" t="s">
        <v>803</v>
      </c>
      <c r="R13" s="31" t="s">
        <v>803</v>
      </c>
      <c r="S13" s="36" t="s">
        <v>1018</v>
      </c>
      <c r="T13" s="31"/>
      <c r="U13" s="44"/>
      <c r="V13" s="44"/>
    </row>
    <row r="14" spans="1:22" ht="15.6">
      <c r="A14" s="31" t="s">
        <v>803</v>
      </c>
      <c r="B14" s="39">
        <f t="shared" si="0"/>
        <v>12</v>
      </c>
      <c r="C14" s="46"/>
      <c r="D14" s="63" t="s">
        <v>1057</v>
      </c>
      <c r="E14" s="46"/>
      <c r="F14" s="46"/>
      <c r="G14" s="46"/>
      <c r="H14" s="46"/>
      <c r="I14" s="50" t="s">
        <v>1058</v>
      </c>
      <c r="J14" s="43" t="s">
        <v>682</v>
      </c>
      <c r="K14" s="51" t="s">
        <v>683</v>
      </c>
      <c r="L14" s="51"/>
      <c r="M14" s="169" t="s">
        <v>1059</v>
      </c>
      <c r="N14" s="51" t="s">
        <v>803</v>
      </c>
      <c r="O14" s="51" t="s">
        <v>803</v>
      </c>
      <c r="P14" s="43">
        <v>3520</v>
      </c>
      <c r="Q14" s="43"/>
      <c r="R14" s="36"/>
      <c r="S14" s="36" t="s">
        <v>1060</v>
      </c>
      <c r="T14" s="36" t="s">
        <v>738</v>
      </c>
      <c r="U14" s="44"/>
      <c r="V14" s="44"/>
    </row>
    <row r="15" spans="1:22" s="65" customFormat="1" ht="15.6">
      <c r="A15" s="31" t="s">
        <v>803</v>
      </c>
      <c r="B15" s="39">
        <f t="shared" si="0"/>
        <v>13</v>
      </c>
      <c r="C15" s="40"/>
      <c r="D15" s="62" t="s">
        <v>1061</v>
      </c>
      <c r="E15" s="48" t="s">
        <v>1062</v>
      </c>
      <c r="F15" s="49" t="s">
        <v>1063</v>
      </c>
      <c r="G15" s="49"/>
      <c r="H15" s="49" t="s">
        <v>844</v>
      </c>
      <c r="I15" s="50" t="s">
        <v>860</v>
      </c>
      <c r="J15" s="43"/>
      <c r="K15" s="51" t="s">
        <v>1064</v>
      </c>
      <c r="L15" s="51"/>
      <c r="M15" s="95" t="s">
        <v>1065</v>
      </c>
      <c r="N15" s="51" t="s">
        <v>834</v>
      </c>
      <c r="O15" s="51" t="s">
        <v>834</v>
      </c>
      <c r="P15" s="43" t="s">
        <v>64</v>
      </c>
      <c r="Q15" s="43"/>
      <c r="R15" s="36"/>
      <c r="S15" s="36" t="s">
        <v>1018</v>
      </c>
      <c r="T15" s="36"/>
      <c r="U15" s="64"/>
      <c r="V15" s="64"/>
    </row>
    <row r="16" spans="1:22" s="65" customFormat="1" ht="15.6">
      <c r="A16" s="154" t="s">
        <v>1066</v>
      </c>
      <c r="B16" s="39">
        <f t="shared" si="0"/>
        <v>14</v>
      </c>
      <c r="C16" s="182"/>
      <c r="D16" s="62" t="s">
        <v>1067</v>
      </c>
      <c r="E16" s="182"/>
      <c r="F16" s="182"/>
      <c r="G16" s="182"/>
      <c r="H16" s="182"/>
      <c r="I16" s="50" t="s">
        <v>719</v>
      </c>
      <c r="J16" s="43" t="s">
        <v>682</v>
      </c>
      <c r="K16" s="51" t="s">
        <v>683</v>
      </c>
      <c r="L16" s="51"/>
      <c r="M16" s="169"/>
      <c r="N16" s="51"/>
      <c r="O16" s="51"/>
      <c r="P16" s="43"/>
      <c r="Q16" s="43"/>
      <c r="R16" s="36"/>
      <c r="S16" s="36" t="s">
        <v>1018</v>
      </c>
      <c r="T16" s="36" t="s">
        <v>720</v>
      </c>
      <c r="U16" s="64"/>
      <c r="V16" s="64"/>
    </row>
    <row r="17" spans="1:21" s="159" customFormat="1" ht="15.6">
      <c r="A17" s="36" t="s">
        <v>803</v>
      </c>
      <c r="B17" s="43">
        <f t="shared" si="0"/>
        <v>15</v>
      </c>
      <c r="C17" s="183"/>
      <c r="D17" s="183" t="s">
        <v>1068</v>
      </c>
      <c r="E17" s="37"/>
      <c r="F17" s="37"/>
      <c r="G17" s="37"/>
      <c r="H17" s="37"/>
      <c r="I17" s="50" t="s">
        <v>1069</v>
      </c>
      <c r="J17" s="43" t="s">
        <v>682</v>
      </c>
      <c r="K17" s="51" t="s">
        <v>683</v>
      </c>
      <c r="L17" s="51"/>
      <c r="M17" s="169"/>
      <c r="N17" s="51"/>
      <c r="O17" s="51"/>
      <c r="P17" s="43"/>
      <c r="Q17" s="43"/>
      <c r="R17" s="36"/>
      <c r="S17" s="36" t="s">
        <v>1018</v>
      </c>
      <c r="T17" s="36" t="s">
        <v>700</v>
      </c>
      <c r="U17" s="178"/>
    </row>
    <row r="18" spans="1:21" s="159" customFormat="1" ht="15.6">
      <c r="A18" s="36" t="s">
        <v>1070</v>
      </c>
      <c r="B18" s="43">
        <f t="shared" si="0"/>
        <v>16</v>
      </c>
      <c r="C18" s="37"/>
      <c r="D18" s="63" t="s">
        <v>1071</v>
      </c>
      <c r="E18" s="37"/>
      <c r="F18" s="37"/>
      <c r="G18" s="37"/>
      <c r="H18" s="37"/>
      <c r="I18" s="50" t="s">
        <v>1072</v>
      </c>
      <c r="J18" s="43" t="s">
        <v>682</v>
      </c>
      <c r="K18" s="51" t="s">
        <v>683</v>
      </c>
      <c r="L18" s="51"/>
      <c r="M18" s="169"/>
      <c r="N18" s="51"/>
      <c r="O18" s="51"/>
      <c r="P18" s="43"/>
      <c r="Q18" s="43"/>
      <c r="R18" s="36"/>
      <c r="S18" s="36" t="s">
        <v>1018</v>
      </c>
      <c r="T18" s="36" t="s">
        <v>700</v>
      </c>
      <c r="U18" s="178"/>
    </row>
    <row r="19" spans="1:21" s="160" customFormat="1" ht="15.6">
      <c r="A19" s="161" t="s">
        <v>1073</v>
      </c>
      <c r="B19" s="162">
        <f t="shared" si="0"/>
        <v>17</v>
      </c>
      <c r="C19" s="184"/>
      <c r="D19" s="172" t="s">
        <v>1074</v>
      </c>
      <c r="E19" s="185" t="s">
        <v>1075</v>
      </c>
      <c r="F19" s="185" t="s">
        <v>1076</v>
      </c>
      <c r="G19" s="185"/>
      <c r="H19" s="185"/>
      <c r="I19" s="163" t="s">
        <v>850</v>
      </c>
      <c r="J19" s="162" t="s">
        <v>682</v>
      </c>
      <c r="K19" s="164" t="s">
        <v>683</v>
      </c>
      <c r="L19" s="164"/>
      <c r="M19" s="186"/>
      <c r="N19" s="164"/>
      <c r="O19" s="164"/>
      <c r="P19" s="162"/>
      <c r="Q19" s="162"/>
      <c r="R19" s="161"/>
      <c r="S19" s="161" t="s">
        <v>1018</v>
      </c>
      <c r="T19" s="187" t="s">
        <v>712</v>
      </c>
      <c r="U19" s="196"/>
    </row>
    <row r="20" spans="1:21" s="159" customFormat="1" ht="15.6" customHeight="1">
      <c r="A20" s="36" t="s">
        <v>803</v>
      </c>
      <c r="B20" s="43">
        <f t="shared" si="0"/>
        <v>18</v>
      </c>
      <c r="C20" s="165"/>
      <c r="D20" s="166" t="s">
        <v>1077</v>
      </c>
      <c r="E20" s="36" t="s">
        <v>1078</v>
      </c>
      <c r="F20" s="36" t="s">
        <v>1079</v>
      </c>
      <c r="G20" s="36"/>
      <c r="H20" s="36"/>
      <c r="I20" s="50" t="s">
        <v>711</v>
      </c>
      <c r="J20" s="43" t="s">
        <v>682</v>
      </c>
      <c r="K20" s="51" t="s">
        <v>683</v>
      </c>
      <c r="L20" s="51"/>
      <c r="M20" s="43"/>
      <c r="N20" s="51"/>
      <c r="O20" s="51"/>
      <c r="P20" s="43"/>
      <c r="Q20" s="43"/>
      <c r="R20" s="36"/>
      <c r="S20" s="36" t="s">
        <v>1018</v>
      </c>
      <c r="T20" s="167" t="s">
        <v>712</v>
      </c>
      <c r="U20" s="178"/>
    </row>
    <row r="21" spans="1:21" s="159" customFormat="1" ht="15.6">
      <c r="A21" s="36" t="s">
        <v>803</v>
      </c>
      <c r="B21" s="43">
        <f t="shared" si="0"/>
        <v>19</v>
      </c>
      <c r="C21" s="22"/>
      <c r="D21" s="62" t="s">
        <v>1080</v>
      </c>
      <c r="E21" s="168"/>
      <c r="F21" s="168" t="s">
        <v>1081</v>
      </c>
      <c r="G21" s="168"/>
      <c r="H21" s="168"/>
      <c r="I21" s="50" t="s">
        <v>1082</v>
      </c>
      <c r="J21" s="43" t="s">
        <v>682</v>
      </c>
      <c r="K21" s="51" t="s">
        <v>683</v>
      </c>
      <c r="L21" s="51"/>
      <c r="M21" s="169"/>
      <c r="N21" s="51"/>
      <c r="O21" s="51"/>
      <c r="P21" s="43"/>
      <c r="Q21" s="43"/>
      <c r="R21" s="43"/>
      <c r="S21" s="170"/>
      <c r="T21" s="36" t="s">
        <v>689</v>
      </c>
      <c r="U21" s="178"/>
    </row>
    <row r="22" spans="1:21" s="160" customFormat="1" ht="15.6">
      <c r="A22" s="161" t="s">
        <v>1083</v>
      </c>
      <c r="B22" s="162">
        <f t="shared" si="0"/>
        <v>20</v>
      </c>
      <c r="C22" s="171"/>
      <c r="D22" s="172" t="s">
        <v>1084</v>
      </c>
      <c r="E22" s="173" t="s">
        <v>1085</v>
      </c>
      <c r="F22" s="173" t="s">
        <v>1086</v>
      </c>
      <c r="G22" s="173"/>
      <c r="H22" s="173" t="s">
        <v>662</v>
      </c>
      <c r="I22" s="163" t="s">
        <v>923</v>
      </c>
      <c r="J22" s="162" t="s">
        <v>682</v>
      </c>
      <c r="K22" s="164" t="s">
        <v>683</v>
      </c>
      <c r="L22" s="164"/>
      <c r="M22" s="174" t="s">
        <v>1087</v>
      </c>
      <c r="N22" s="164" t="s">
        <v>803</v>
      </c>
      <c r="O22" s="162" t="s">
        <v>654</v>
      </c>
      <c r="P22" s="162" t="s">
        <v>654</v>
      </c>
      <c r="Q22" s="162"/>
      <c r="R22" s="162"/>
      <c r="S22" s="175" t="s">
        <v>1088</v>
      </c>
      <c r="T22" s="161"/>
      <c r="U22" s="196"/>
    </row>
    <row r="23" spans="1:21" s="159" customFormat="1" ht="15.6">
      <c r="A23" s="36" t="s">
        <v>835</v>
      </c>
      <c r="B23" s="43">
        <f t="shared" si="0"/>
        <v>21</v>
      </c>
      <c r="C23" s="22"/>
      <c r="D23" s="62" t="s">
        <v>1089</v>
      </c>
      <c r="E23" s="168" t="s">
        <v>1090</v>
      </c>
      <c r="F23" s="168" t="s">
        <v>1090</v>
      </c>
      <c r="G23" s="168"/>
      <c r="H23" s="168" t="s">
        <v>827</v>
      </c>
      <c r="I23" s="50" t="s">
        <v>1007</v>
      </c>
      <c r="J23" s="43" t="s">
        <v>682</v>
      </c>
      <c r="K23" s="51" t="s">
        <v>1005</v>
      </c>
      <c r="L23" s="51"/>
      <c r="M23" s="169"/>
      <c r="N23" s="51" t="s">
        <v>803</v>
      </c>
      <c r="O23" s="51"/>
      <c r="P23" s="43"/>
      <c r="Q23" s="43" t="s">
        <v>803</v>
      </c>
      <c r="R23" s="43"/>
      <c r="S23" s="170"/>
      <c r="T23" s="36"/>
      <c r="U23" s="178"/>
    </row>
    <row r="24" spans="1:21" s="159" customFormat="1" ht="15.6">
      <c r="A24" s="36" t="s">
        <v>835</v>
      </c>
      <c r="B24" s="43">
        <f>B23+1</f>
        <v>22</v>
      </c>
      <c r="C24" s="22"/>
      <c r="D24" s="62" t="s">
        <v>1091</v>
      </c>
      <c r="E24" s="168"/>
      <c r="F24" s="168" t="s">
        <v>1092</v>
      </c>
      <c r="G24" s="168"/>
      <c r="H24" s="168"/>
      <c r="I24" s="50" t="s">
        <v>761</v>
      </c>
      <c r="J24" s="43" t="s">
        <v>682</v>
      </c>
      <c r="K24" s="51" t="s">
        <v>683</v>
      </c>
      <c r="L24" s="51"/>
      <c r="M24" s="188"/>
      <c r="N24" s="51"/>
      <c r="O24" s="51"/>
      <c r="P24" s="43"/>
      <c r="Q24" s="43"/>
      <c r="R24" s="43"/>
      <c r="S24" s="170"/>
      <c r="T24" s="36" t="s">
        <v>757</v>
      </c>
      <c r="U24" s="178"/>
    </row>
    <row r="25" spans="1:21" ht="15.6">
      <c r="A25" s="31"/>
      <c r="B25" s="27">
        <v>1</v>
      </c>
      <c r="C25" s="12"/>
      <c r="D25" s="73" t="s">
        <v>1093</v>
      </c>
      <c r="E25" s="74" t="s">
        <v>1094</v>
      </c>
      <c r="F25" s="74" t="s">
        <v>1095</v>
      </c>
      <c r="G25" s="74"/>
      <c r="H25" s="81" t="s">
        <v>844</v>
      </c>
      <c r="I25" s="81" t="s">
        <v>1000</v>
      </c>
      <c r="J25" s="27" t="s">
        <v>682</v>
      </c>
      <c r="K25" s="29" t="s">
        <v>683</v>
      </c>
      <c r="L25" s="29" t="s">
        <v>1096</v>
      </c>
      <c r="M25" s="96" t="s">
        <v>1097</v>
      </c>
      <c r="N25" s="29" t="s">
        <v>834</v>
      </c>
      <c r="O25" s="29" t="s">
        <v>834</v>
      </c>
      <c r="P25" s="27">
        <v>3520</v>
      </c>
      <c r="Q25" s="27"/>
      <c r="R25" s="27"/>
      <c r="S25" s="142"/>
      <c r="T25" s="31"/>
      <c r="U25" s="44"/>
    </row>
    <row r="26" spans="1:21" s="159" customFormat="1" ht="15.6">
      <c r="A26" s="36" t="s">
        <v>803</v>
      </c>
      <c r="B26" s="43">
        <v>2</v>
      </c>
      <c r="C26" s="22"/>
      <c r="D26" s="62" t="s">
        <v>1098</v>
      </c>
      <c r="E26" s="168" t="s">
        <v>1099</v>
      </c>
      <c r="F26" s="168" t="s">
        <v>1100</v>
      </c>
      <c r="G26" s="168"/>
      <c r="H26" s="168" t="s">
        <v>844</v>
      </c>
      <c r="I26" s="176" t="s">
        <v>1058</v>
      </c>
      <c r="J26" s="43" t="s">
        <v>682</v>
      </c>
      <c r="K26" s="51" t="s">
        <v>683</v>
      </c>
      <c r="L26" s="51" t="s">
        <v>73</v>
      </c>
      <c r="M26" s="177">
        <v>45270</v>
      </c>
      <c r="N26" s="51" t="s">
        <v>834</v>
      </c>
      <c r="O26" s="43" t="s">
        <v>654</v>
      </c>
      <c r="P26" s="43" t="s">
        <v>881</v>
      </c>
      <c r="Q26" s="43"/>
      <c r="R26" s="43" t="s">
        <v>803</v>
      </c>
      <c r="S26" s="36" t="s">
        <v>1101</v>
      </c>
      <c r="T26" s="36"/>
      <c r="U26" s="178"/>
    </row>
    <row r="27" spans="1:21" ht="15.6">
      <c r="A27" s="27" t="s">
        <v>1102</v>
      </c>
      <c r="B27" s="27">
        <v>3</v>
      </c>
      <c r="C27" s="12" t="s">
        <v>60</v>
      </c>
      <c r="D27" s="73" t="s">
        <v>1103</v>
      </c>
      <c r="E27" s="74" t="s">
        <v>1104</v>
      </c>
      <c r="F27" s="74" t="s">
        <v>1105</v>
      </c>
      <c r="G27" s="74"/>
      <c r="H27" s="31" t="s">
        <v>844</v>
      </c>
      <c r="I27" s="31" t="s">
        <v>1000</v>
      </c>
      <c r="J27" s="27" t="s">
        <v>682</v>
      </c>
      <c r="K27" s="29" t="s">
        <v>683</v>
      </c>
      <c r="L27" s="29" t="s">
        <v>73</v>
      </c>
      <c r="M27" s="143">
        <v>45140</v>
      </c>
      <c r="N27" s="29" t="s">
        <v>803</v>
      </c>
      <c r="O27" s="29" t="s">
        <v>834</v>
      </c>
      <c r="P27" s="27">
        <v>3520</v>
      </c>
      <c r="Q27" s="27" t="s">
        <v>803</v>
      </c>
      <c r="R27" s="27" t="s">
        <v>803</v>
      </c>
      <c r="S27" s="142"/>
      <c r="T27" s="31"/>
      <c r="U27" s="44"/>
    </row>
    <row r="28" spans="1:21" s="159" customFormat="1" ht="15.6">
      <c r="A28" s="36" t="s">
        <v>803</v>
      </c>
      <c r="B28" s="43">
        <v>4</v>
      </c>
      <c r="C28" s="22" t="s">
        <v>314</v>
      </c>
      <c r="D28" s="62" t="s">
        <v>1106</v>
      </c>
      <c r="E28" s="168" t="s">
        <v>1107</v>
      </c>
      <c r="F28" s="168" t="s">
        <v>1108</v>
      </c>
      <c r="G28" s="168"/>
      <c r="H28" s="168"/>
      <c r="I28" s="50" t="s">
        <v>850</v>
      </c>
      <c r="J28" s="43" t="s">
        <v>682</v>
      </c>
      <c r="K28" s="51" t="s">
        <v>683</v>
      </c>
      <c r="L28" s="51" t="s">
        <v>73</v>
      </c>
      <c r="M28" s="188"/>
      <c r="N28" s="51"/>
      <c r="O28" s="51"/>
      <c r="P28" s="43"/>
      <c r="Q28" s="43"/>
      <c r="R28" s="43"/>
      <c r="S28" s="170"/>
      <c r="T28" s="36"/>
      <c r="U28" s="178"/>
    </row>
    <row r="29" spans="1:21" s="159" customFormat="1" ht="15.6">
      <c r="A29" s="36" t="s">
        <v>803</v>
      </c>
      <c r="B29" s="43">
        <v>5</v>
      </c>
      <c r="C29" s="22" t="s">
        <v>344</v>
      </c>
      <c r="D29" s="62" t="s">
        <v>1109</v>
      </c>
      <c r="E29" s="168" t="s">
        <v>1110</v>
      </c>
      <c r="F29" s="168" t="s">
        <v>1111</v>
      </c>
      <c r="G29" s="168"/>
      <c r="H29" s="168"/>
      <c r="I29" s="50" t="s">
        <v>932</v>
      </c>
      <c r="J29" s="43" t="s">
        <v>682</v>
      </c>
      <c r="K29" s="51" t="s">
        <v>683</v>
      </c>
      <c r="L29" s="51" t="s">
        <v>73</v>
      </c>
      <c r="M29" s="43"/>
      <c r="N29" s="51"/>
      <c r="O29" s="51"/>
      <c r="P29" s="43"/>
      <c r="Q29" s="43"/>
      <c r="R29" s="36"/>
      <c r="S29" s="36"/>
      <c r="T29" s="36"/>
      <c r="U29" s="178"/>
    </row>
    <row r="30" spans="1:21" ht="31.2">
      <c r="A30" s="31" t="s">
        <v>1112</v>
      </c>
      <c r="B30" s="27">
        <v>6</v>
      </c>
      <c r="C30" s="12" t="s">
        <v>264</v>
      </c>
      <c r="D30" s="74" t="s">
        <v>1113</v>
      </c>
      <c r="E30" s="74" t="s">
        <v>1114</v>
      </c>
      <c r="F30" s="74" t="s">
        <v>1115</v>
      </c>
      <c r="G30" s="74"/>
      <c r="H30" s="131" t="s">
        <v>1116</v>
      </c>
      <c r="I30" s="27" t="s">
        <v>682</v>
      </c>
      <c r="J30" s="29" t="s">
        <v>683</v>
      </c>
      <c r="K30" s="29" t="s">
        <v>73</v>
      </c>
      <c r="L30" s="189"/>
      <c r="M30" s="29"/>
      <c r="N30" s="29"/>
      <c r="O30" s="27"/>
      <c r="P30" s="27"/>
      <c r="Q30" s="27"/>
      <c r="R30" s="142"/>
      <c r="S30" s="31" t="s">
        <v>689</v>
      </c>
      <c r="T30" s="31"/>
      <c r="U30" s="44"/>
    </row>
    <row r="31" spans="1:21" s="159" customFormat="1" ht="15.6">
      <c r="A31" s="43" t="s">
        <v>803</v>
      </c>
      <c r="B31" s="43">
        <v>7</v>
      </c>
      <c r="C31" s="22" t="s">
        <v>508</v>
      </c>
      <c r="D31" s="62" t="s">
        <v>1117</v>
      </c>
      <c r="E31" s="168" t="s">
        <v>1118</v>
      </c>
      <c r="F31" s="168" t="s">
        <v>1119</v>
      </c>
      <c r="G31" s="168"/>
      <c r="H31" s="168" t="s">
        <v>870</v>
      </c>
      <c r="I31" s="168" t="s">
        <v>1120</v>
      </c>
      <c r="J31" s="43" t="s">
        <v>682</v>
      </c>
      <c r="K31" s="51" t="s">
        <v>683</v>
      </c>
      <c r="L31" s="51" t="s">
        <v>73</v>
      </c>
      <c r="M31" s="190">
        <v>45152</v>
      </c>
      <c r="N31" s="51" t="s">
        <v>834</v>
      </c>
      <c r="O31" s="51" t="s">
        <v>834</v>
      </c>
      <c r="P31" s="43">
        <v>5430</v>
      </c>
      <c r="Q31" s="43"/>
      <c r="R31" s="43"/>
      <c r="S31" s="170" t="s">
        <v>1121</v>
      </c>
      <c r="T31" s="36"/>
      <c r="U31" s="178"/>
    </row>
    <row r="32" spans="1:21" s="159" customFormat="1" ht="15.6">
      <c r="A32" s="43" t="s">
        <v>803</v>
      </c>
      <c r="B32" s="43">
        <v>22</v>
      </c>
      <c r="C32" s="22" t="s">
        <v>213</v>
      </c>
      <c r="D32" s="62" t="s">
        <v>1122</v>
      </c>
      <c r="E32" s="168" t="s">
        <v>1123</v>
      </c>
      <c r="F32" s="168" t="s">
        <v>1124</v>
      </c>
      <c r="G32" s="168"/>
      <c r="H32" s="168"/>
      <c r="I32" s="50" t="s">
        <v>923</v>
      </c>
      <c r="J32" s="43" t="s">
        <v>682</v>
      </c>
      <c r="K32" s="51" t="s">
        <v>683</v>
      </c>
      <c r="L32" s="51" t="s">
        <v>73</v>
      </c>
      <c r="M32" s="188"/>
      <c r="N32" s="51"/>
      <c r="O32" s="51"/>
      <c r="P32" s="43"/>
      <c r="Q32" s="43"/>
      <c r="R32" s="43"/>
      <c r="S32" s="170"/>
      <c r="T32" s="36" t="s">
        <v>757</v>
      </c>
      <c r="U32" s="178"/>
    </row>
    <row r="33" spans="1:37" ht="15.6">
      <c r="A33" s="27"/>
      <c r="B33" s="27">
        <v>11</v>
      </c>
      <c r="C33" s="12" t="s">
        <v>195</v>
      </c>
      <c r="D33" s="73" t="s">
        <v>1125</v>
      </c>
      <c r="E33" s="74" t="s">
        <v>1126</v>
      </c>
      <c r="F33" s="74" t="s">
        <v>1127</v>
      </c>
      <c r="G33" s="74"/>
      <c r="H33" s="74"/>
      <c r="I33" s="131" t="s">
        <v>1128</v>
      </c>
      <c r="J33" s="27" t="s">
        <v>682</v>
      </c>
      <c r="K33" s="29" t="s">
        <v>683</v>
      </c>
      <c r="L33" s="29" t="s">
        <v>73</v>
      </c>
      <c r="M33" s="189"/>
      <c r="N33" s="29"/>
      <c r="O33" s="29"/>
      <c r="P33" s="27"/>
      <c r="Q33" s="27"/>
      <c r="R33" s="27"/>
      <c r="S33" s="142"/>
      <c r="T33" s="31" t="s">
        <v>729</v>
      </c>
      <c r="U33" s="44"/>
      <c r="V33" s="44"/>
      <c r="W33" s="44"/>
      <c r="X33" s="44"/>
      <c r="Y33" s="44"/>
      <c r="Z33" s="44"/>
      <c r="AA33" s="44"/>
      <c r="AB33" s="44"/>
      <c r="AC33" s="44"/>
      <c r="AD33" s="44"/>
      <c r="AE33" s="44"/>
      <c r="AF33" s="44"/>
      <c r="AG33" s="44"/>
      <c r="AH33" s="44"/>
      <c r="AI33" s="44"/>
      <c r="AJ33" s="44"/>
      <c r="AK33" s="44"/>
    </row>
    <row r="34" spans="1:37" s="159" customFormat="1" ht="15.6">
      <c r="A34" s="43" t="s">
        <v>803</v>
      </c>
      <c r="B34" s="43"/>
      <c r="C34" s="22" t="s">
        <v>326</v>
      </c>
      <c r="D34" s="62" t="s">
        <v>1129</v>
      </c>
      <c r="E34" s="168" t="s">
        <v>1130</v>
      </c>
      <c r="F34" s="168" t="s">
        <v>1131</v>
      </c>
      <c r="G34" s="168"/>
      <c r="H34" s="168" t="s">
        <v>844</v>
      </c>
      <c r="I34" s="50" t="s">
        <v>1132</v>
      </c>
      <c r="J34" s="43" t="s">
        <v>682</v>
      </c>
      <c r="K34" s="51" t="s">
        <v>683</v>
      </c>
      <c r="L34" s="51" t="s">
        <v>73</v>
      </c>
      <c r="M34" s="190">
        <v>45078</v>
      </c>
      <c r="N34" s="51" t="s">
        <v>834</v>
      </c>
      <c r="O34" s="43" t="s">
        <v>654</v>
      </c>
      <c r="P34" s="43">
        <v>3520</v>
      </c>
      <c r="Q34" s="43"/>
      <c r="R34" s="43"/>
      <c r="S34" s="170"/>
      <c r="T34" s="36"/>
      <c r="U34" s="178"/>
      <c r="V34" s="178"/>
      <c r="W34" s="178"/>
      <c r="X34" s="178"/>
      <c r="Y34" s="178"/>
      <c r="Z34" s="178"/>
      <c r="AA34" s="178"/>
      <c r="AB34" s="178"/>
      <c r="AC34" s="178"/>
      <c r="AD34" s="178"/>
      <c r="AE34" s="178"/>
      <c r="AF34" s="178"/>
      <c r="AG34" s="178"/>
      <c r="AH34" s="178"/>
      <c r="AI34" s="178"/>
      <c r="AJ34" s="178"/>
      <c r="AK34" s="178"/>
    </row>
    <row r="35" spans="1:37" s="159" customFormat="1" ht="15.6">
      <c r="A35" s="43" t="s">
        <v>803</v>
      </c>
      <c r="B35" s="43"/>
      <c r="C35" s="22" t="s">
        <v>491</v>
      </c>
      <c r="D35" s="62" t="s">
        <v>1133</v>
      </c>
      <c r="E35" s="168" t="s">
        <v>1134</v>
      </c>
      <c r="F35" s="168" t="s">
        <v>1135</v>
      </c>
      <c r="G35" s="168"/>
      <c r="H35" s="168"/>
      <c r="I35" s="50" t="s">
        <v>1136</v>
      </c>
      <c r="J35" s="43" t="s">
        <v>682</v>
      </c>
      <c r="K35" s="51" t="s">
        <v>683</v>
      </c>
      <c r="L35" s="51" t="s">
        <v>73</v>
      </c>
      <c r="M35" s="188">
        <v>45012</v>
      </c>
      <c r="N35" s="51" t="s">
        <v>803</v>
      </c>
      <c r="O35" s="51" t="s">
        <v>803</v>
      </c>
      <c r="P35" s="43">
        <v>3520</v>
      </c>
      <c r="Q35" s="51" t="s">
        <v>803</v>
      </c>
      <c r="R35" s="43" t="s">
        <v>803</v>
      </c>
      <c r="S35" s="170"/>
      <c r="T35" s="36"/>
      <c r="U35" s="195"/>
      <c r="V35" s="178"/>
      <c r="W35" s="178"/>
      <c r="X35" s="178"/>
      <c r="Y35" s="178"/>
      <c r="Z35" s="178"/>
      <c r="AA35" s="178"/>
      <c r="AB35" s="178"/>
      <c r="AC35" s="178"/>
      <c r="AD35" s="178"/>
      <c r="AE35" s="178"/>
      <c r="AF35" s="178"/>
      <c r="AG35" s="178"/>
      <c r="AH35" s="178"/>
      <c r="AI35" s="178"/>
      <c r="AJ35" s="178"/>
      <c r="AK35" s="178"/>
    </row>
    <row r="36" spans="1:37" ht="15.75" customHeight="1">
      <c r="A36" s="31"/>
      <c r="B36" s="27">
        <f>Office_Resigned!A57+1</f>
        <v>19</v>
      </c>
      <c r="C36" s="12" t="s">
        <v>446</v>
      </c>
      <c r="D36" s="73" t="s">
        <v>1137</v>
      </c>
      <c r="E36" s="74" t="s">
        <v>1138</v>
      </c>
      <c r="F36" s="74" t="s">
        <v>1139</v>
      </c>
      <c r="G36" s="74"/>
      <c r="H36" s="74"/>
      <c r="I36" s="131" t="s">
        <v>769</v>
      </c>
      <c r="J36" s="27" t="s">
        <v>682</v>
      </c>
      <c r="K36" s="29" t="s">
        <v>683</v>
      </c>
      <c r="L36" s="29" t="s">
        <v>73</v>
      </c>
      <c r="M36" s="189"/>
      <c r="N36" s="29"/>
      <c r="O36" s="29"/>
      <c r="P36" s="27"/>
      <c r="Q36" s="27"/>
      <c r="R36" s="27"/>
      <c r="S36" s="142"/>
      <c r="T36" s="31" t="s">
        <v>720</v>
      </c>
      <c r="U36" s="44"/>
      <c r="V36" s="44"/>
      <c r="W36" s="44"/>
      <c r="X36" s="44"/>
      <c r="Y36" s="44"/>
      <c r="Z36" s="44"/>
      <c r="AA36" s="44"/>
      <c r="AB36" s="44"/>
      <c r="AC36" s="44"/>
      <c r="AD36" s="44"/>
      <c r="AE36" s="44"/>
      <c r="AF36" s="44"/>
      <c r="AG36" s="44"/>
      <c r="AH36" s="44"/>
      <c r="AI36" s="44"/>
      <c r="AJ36" s="44"/>
      <c r="AK36" s="44"/>
    </row>
    <row r="37" spans="1:37" ht="15" customHeight="1">
      <c r="A37" s="31"/>
      <c r="B37" s="27">
        <v>32</v>
      </c>
      <c r="C37" s="12" t="s">
        <v>62</v>
      </c>
      <c r="D37" s="73" t="s">
        <v>1140</v>
      </c>
      <c r="E37" s="74" t="s">
        <v>1141</v>
      </c>
      <c r="F37" s="74" t="s">
        <v>1142</v>
      </c>
      <c r="G37" s="74"/>
      <c r="H37" s="74" t="s">
        <v>822</v>
      </c>
      <c r="I37" s="131" t="s">
        <v>711</v>
      </c>
      <c r="J37" s="27" t="s">
        <v>682</v>
      </c>
      <c r="K37" s="29" t="s">
        <v>683</v>
      </c>
      <c r="L37" s="29" t="s">
        <v>73</v>
      </c>
      <c r="M37" s="189">
        <v>45012</v>
      </c>
      <c r="N37" s="29" t="s">
        <v>803</v>
      </c>
      <c r="O37" s="29" t="s">
        <v>654</v>
      </c>
      <c r="P37" s="29">
        <v>3520</v>
      </c>
      <c r="Q37" s="29" t="s">
        <v>654</v>
      </c>
      <c r="R37" s="27" t="s">
        <v>803</v>
      </c>
      <c r="S37" s="151" t="s">
        <v>1143</v>
      </c>
      <c r="T37" s="31"/>
      <c r="U37" s="44"/>
      <c r="V37" s="44"/>
      <c r="W37" s="44"/>
      <c r="X37" s="44"/>
      <c r="Y37" s="44"/>
      <c r="Z37" s="44"/>
      <c r="AA37" s="44"/>
      <c r="AB37" s="44"/>
      <c r="AC37" s="44"/>
      <c r="AD37" s="44"/>
      <c r="AE37" s="44"/>
      <c r="AF37" s="44"/>
      <c r="AG37" s="44"/>
      <c r="AH37" s="44"/>
      <c r="AI37" s="44"/>
      <c r="AJ37" s="44"/>
      <c r="AK37" s="44"/>
    </row>
    <row r="38" spans="1:37" ht="15.75" customHeight="1">
      <c r="A38" s="31"/>
      <c r="B38" s="27">
        <f>Office_Resigned!A64+1</f>
        <v>20</v>
      </c>
      <c r="C38" s="12" t="s">
        <v>114</v>
      </c>
      <c r="D38" s="73" t="s">
        <v>1144</v>
      </c>
      <c r="E38" s="74" t="s">
        <v>1145</v>
      </c>
      <c r="F38" s="74" t="s">
        <v>1146</v>
      </c>
      <c r="G38" s="74" t="s">
        <v>1147</v>
      </c>
      <c r="H38" s="74"/>
      <c r="I38" s="131" t="s">
        <v>1148</v>
      </c>
      <c r="J38" s="27" t="s">
        <v>682</v>
      </c>
      <c r="K38" s="29" t="s">
        <v>683</v>
      </c>
      <c r="L38" s="29" t="s">
        <v>73</v>
      </c>
      <c r="M38" s="189"/>
      <c r="N38" s="29"/>
      <c r="O38" s="29"/>
      <c r="P38" s="27"/>
      <c r="Q38" s="27"/>
      <c r="R38" s="27"/>
      <c r="S38" s="142"/>
      <c r="T38" s="31" t="s">
        <v>720</v>
      </c>
      <c r="U38" s="44"/>
      <c r="V38" s="44"/>
      <c r="W38" s="44"/>
      <c r="X38" s="44"/>
      <c r="Y38" s="44"/>
      <c r="Z38" s="44"/>
      <c r="AA38" s="44"/>
      <c r="AB38" s="44"/>
      <c r="AC38" s="44"/>
      <c r="AD38" s="44"/>
      <c r="AE38" s="44"/>
      <c r="AF38" s="44"/>
      <c r="AG38" s="44"/>
      <c r="AH38" s="44"/>
      <c r="AI38" s="44"/>
      <c r="AJ38" s="44"/>
      <c r="AK38" s="44"/>
    </row>
    <row r="39" spans="1:37" ht="15.6">
      <c r="A39" s="27"/>
      <c r="B39" s="27" t="e">
        <f>Office_Resigned!B45+1</f>
        <v>#VALUE!</v>
      </c>
      <c r="C39" s="12" t="s">
        <v>547</v>
      </c>
      <c r="D39" s="73" t="s">
        <v>1149</v>
      </c>
      <c r="E39" s="74" t="s">
        <v>1150</v>
      </c>
      <c r="F39" s="74" t="s">
        <v>1151</v>
      </c>
      <c r="G39" s="74"/>
      <c r="H39" s="81" t="s">
        <v>1152</v>
      </c>
      <c r="I39" s="81" t="s">
        <v>1153</v>
      </c>
      <c r="J39" s="27" t="s">
        <v>682</v>
      </c>
      <c r="K39" s="29" t="s">
        <v>683</v>
      </c>
      <c r="L39" s="29" t="s">
        <v>73</v>
      </c>
      <c r="M39" s="191">
        <v>45136</v>
      </c>
      <c r="N39" s="29" t="s">
        <v>834</v>
      </c>
      <c r="O39" s="29" t="s">
        <v>834</v>
      </c>
      <c r="P39" s="27">
        <v>5430</v>
      </c>
      <c r="Q39" s="27"/>
      <c r="R39" s="27"/>
      <c r="S39" s="142"/>
      <c r="T39" s="31"/>
      <c r="U39" s="44"/>
      <c r="V39" s="44"/>
      <c r="W39" s="44"/>
      <c r="X39" s="44"/>
      <c r="Y39" s="44"/>
      <c r="Z39" s="44"/>
      <c r="AA39" s="44"/>
      <c r="AB39" s="44"/>
      <c r="AC39" s="44"/>
      <c r="AD39" s="44"/>
      <c r="AE39" s="44"/>
      <c r="AF39" s="44"/>
      <c r="AG39" s="44"/>
      <c r="AH39" s="44"/>
      <c r="AI39" s="44"/>
      <c r="AJ39" s="44"/>
      <c r="AK39" s="44"/>
    </row>
    <row r="40" spans="1:37" ht="15.6">
      <c r="A40" s="27"/>
      <c r="B40" s="27">
        <f>VN_Emails!A27+1</f>
        <v>27</v>
      </c>
      <c r="C40" s="12" t="s">
        <v>271</v>
      </c>
      <c r="D40" s="73" t="s">
        <v>1154</v>
      </c>
      <c r="E40" s="74" t="s">
        <v>1155</v>
      </c>
      <c r="F40" s="74" t="s">
        <v>1156</v>
      </c>
      <c r="G40" s="74"/>
      <c r="H40" s="74"/>
      <c r="I40" s="131" t="s">
        <v>719</v>
      </c>
      <c r="J40" s="27" t="s">
        <v>682</v>
      </c>
      <c r="K40" s="29" t="s">
        <v>683</v>
      </c>
      <c r="L40" s="29" t="s">
        <v>73</v>
      </c>
      <c r="M40" s="189"/>
      <c r="N40" s="29"/>
      <c r="O40" s="29"/>
      <c r="P40" s="27"/>
      <c r="Q40" s="27"/>
      <c r="R40" s="27"/>
      <c r="S40" s="142"/>
      <c r="T40" s="192" t="s">
        <v>720</v>
      </c>
      <c r="U40" s="44"/>
      <c r="V40" s="44"/>
      <c r="W40" s="44"/>
      <c r="X40" s="44"/>
      <c r="Y40" s="44"/>
      <c r="Z40" s="44"/>
      <c r="AA40" s="44"/>
      <c r="AB40" s="44"/>
      <c r="AC40" s="44"/>
      <c r="AD40" s="44"/>
      <c r="AE40" s="44"/>
      <c r="AF40" s="44"/>
      <c r="AG40" s="44"/>
      <c r="AH40" s="44"/>
      <c r="AI40" s="44"/>
      <c r="AJ40" s="44"/>
      <c r="AK40" s="44"/>
    </row>
    <row r="41" spans="1:37" ht="15.6">
      <c r="A41" s="27"/>
      <c r="B41" s="27">
        <f>Office_Resigned!A48+1</f>
        <v>21</v>
      </c>
      <c r="C41" s="12" t="s">
        <v>391</v>
      </c>
      <c r="D41" s="73" t="s">
        <v>1157</v>
      </c>
      <c r="E41" s="74" t="s">
        <v>1158</v>
      </c>
      <c r="F41" s="74" t="s">
        <v>1159</v>
      </c>
      <c r="G41" s="74"/>
      <c r="H41" s="74"/>
      <c r="I41" s="131" t="s">
        <v>769</v>
      </c>
      <c r="J41" s="27" t="s">
        <v>682</v>
      </c>
      <c r="K41" s="29" t="s">
        <v>683</v>
      </c>
      <c r="L41" s="29" t="s">
        <v>73</v>
      </c>
      <c r="M41" s="189">
        <v>44984</v>
      </c>
      <c r="N41" s="29" t="s">
        <v>803</v>
      </c>
      <c r="O41" s="29" t="s">
        <v>803</v>
      </c>
      <c r="P41" s="27">
        <v>3520</v>
      </c>
      <c r="Q41" s="27" t="s">
        <v>803</v>
      </c>
      <c r="R41" s="27" t="s">
        <v>803</v>
      </c>
      <c r="S41" s="31"/>
      <c r="T41" s="31"/>
      <c r="U41" s="44"/>
      <c r="V41" s="44"/>
      <c r="W41" s="44"/>
      <c r="X41" s="44"/>
      <c r="Y41" s="44"/>
      <c r="Z41" s="44"/>
      <c r="AA41" s="44"/>
      <c r="AB41" s="44"/>
      <c r="AC41" s="44"/>
      <c r="AD41" s="44"/>
      <c r="AE41" s="44"/>
      <c r="AF41" s="44"/>
      <c r="AG41" s="44"/>
      <c r="AH41" s="44"/>
      <c r="AI41" s="44"/>
      <c r="AJ41" s="44"/>
      <c r="AK41" s="44"/>
    </row>
    <row r="42" spans="1:37" s="159" customFormat="1" ht="15.75" customHeight="1">
      <c r="A42" s="43" t="s">
        <v>803</v>
      </c>
      <c r="B42" s="43" t="e">
        <f>VN_Emails!#REF!+1</f>
        <v>#REF!</v>
      </c>
      <c r="C42" s="43"/>
      <c r="D42" s="62" t="s">
        <v>1160</v>
      </c>
      <c r="E42" s="36" t="s">
        <v>1161</v>
      </c>
      <c r="F42" s="36" t="s">
        <v>1162</v>
      </c>
      <c r="G42" s="36"/>
      <c r="H42" s="36" t="s">
        <v>54</v>
      </c>
      <c r="I42" s="50" t="s">
        <v>1128</v>
      </c>
      <c r="J42" s="43" t="s">
        <v>924</v>
      </c>
      <c r="K42" s="51" t="s">
        <v>683</v>
      </c>
      <c r="L42" s="51" t="s">
        <v>73</v>
      </c>
      <c r="M42" s="179">
        <v>45383</v>
      </c>
      <c r="N42" s="51" t="s">
        <v>834</v>
      </c>
      <c r="O42" s="51"/>
      <c r="P42" s="43"/>
      <c r="Q42" s="43"/>
      <c r="R42" s="43"/>
      <c r="S42" s="170"/>
      <c r="T42" s="36"/>
      <c r="U42" s="178"/>
      <c r="V42" s="178"/>
      <c r="W42" s="178"/>
      <c r="X42" s="178"/>
      <c r="Y42" s="178"/>
      <c r="Z42" s="178"/>
      <c r="AA42" s="178"/>
      <c r="AB42" s="178"/>
      <c r="AC42" s="178"/>
      <c r="AD42" s="178"/>
      <c r="AE42" s="178"/>
      <c r="AF42" s="178"/>
      <c r="AG42" s="178"/>
      <c r="AH42" s="178"/>
      <c r="AI42" s="178"/>
      <c r="AJ42" s="178"/>
      <c r="AK42" s="178"/>
    </row>
    <row r="43" spans="1:37" ht="46.8">
      <c r="A43" s="27"/>
      <c r="B43" s="12" t="s">
        <v>456</v>
      </c>
      <c r="C43" s="73" t="s">
        <v>1163</v>
      </c>
      <c r="D43" s="74" t="s">
        <v>1164</v>
      </c>
      <c r="E43" s="74" t="s">
        <v>1165</v>
      </c>
      <c r="F43" s="74"/>
      <c r="G43" s="81" t="s">
        <v>1166</v>
      </c>
      <c r="H43" s="131" t="s">
        <v>1167</v>
      </c>
      <c r="I43" s="39" t="s">
        <v>682</v>
      </c>
      <c r="J43" s="29" t="s">
        <v>683</v>
      </c>
      <c r="K43" s="29" t="s">
        <v>73</v>
      </c>
      <c r="L43" s="191">
        <v>45075</v>
      </c>
      <c r="M43" s="29" t="s">
        <v>834</v>
      </c>
      <c r="N43" s="29" t="s">
        <v>835</v>
      </c>
      <c r="O43" s="27">
        <v>5430</v>
      </c>
      <c r="P43" s="27"/>
      <c r="Q43" s="27"/>
      <c r="R43" s="142"/>
      <c r="S43" s="31"/>
      <c r="T43" s="31"/>
      <c r="U43" s="44"/>
      <c r="V43" s="44"/>
      <c r="W43" s="44"/>
      <c r="X43" s="44"/>
      <c r="Y43" s="44"/>
      <c r="Z43" s="44"/>
      <c r="AA43" s="44"/>
      <c r="AB43" s="44"/>
      <c r="AC43" s="44"/>
      <c r="AD43" s="44"/>
      <c r="AE43" s="44"/>
      <c r="AF43" s="44"/>
      <c r="AG43" s="44"/>
      <c r="AH43" s="44"/>
      <c r="AI43" s="44"/>
      <c r="AJ43" s="44"/>
      <c r="AK43" s="44"/>
    </row>
    <row r="44" spans="1:37" ht="15.6">
      <c r="A44" s="27" t="s">
        <v>1168</v>
      </c>
      <c r="B44" s="12" t="s">
        <v>503</v>
      </c>
      <c r="C44" s="73" t="s">
        <v>1169</v>
      </c>
      <c r="D44" s="74" t="s">
        <v>1170</v>
      </c>
      <c r="E44" s="74" t="s">
        <v>1171</v>
      </c>
      <c r="F44" s="74"/>
      <c r="G44" s="81" t="s">
        <v>1172</v>
      </c>
      <c r="H44" s="83" t="s">
        <v>1173</v>
      </c>
      <c r="I44" s="27" t="s">
        <v>682</v>
      </c>
      <c r="J44" s="29" t="s">
        <v>683</v>
      </c>
      <c r="K44" s="29" t="s">
        <v>73</v>
      </c>
      <c r="L44" s="191">
        <v>45118</v>
      </c>
      <c r="M44" s="29" t="s">
        <v>834</v>
      </c>
      <c r="N44" s="29" t="s">
        <v>834</v>
      </c>
      <c r="O44" s="27">
        <v>3520</v>
      </c>
      <c r="P44" s="27"/>
      <c r="Q44" s="27"/>
      <c r="R44" s="142"/>
      <c r="S44" s="31"/>
      <c r="T44" s="31"/>
      <c r="U44" s="44"/>
      <c r="V44" s="44"/>
      <c r="W44" s="44"/>
      <c r="X44" s="44"/>
      <c r="Y44" s="44"/>
      <c r="Z44" s="44"/>
      <c r="AA44" s="44"/>
      <c r="AB44" s="44"/>
      <c r="AC44" s="44"/>
      <c r="AD44" s="44"/>
      <c r="AE44" s="44"/>
      <c r="AF44" s="44"/>
      <c r="AG44" s="44"/>
      <c r="AH44" s="44"/>
      <c r="AI44" s="44"/>
      <c r="AJ44" s="44"/>
      <c r="AK44" s="44"/>
    </row>
    <row r="45" spans="1:37" ht="15.6">
      <c r="A45" s="27"/>
      <c r="B45" s="12" t="s">
        <v>498</v>
      </c>
      <c r="C45" s="73" t="s">
        <v>956</v>
      </c>
      <c r="D45" s="74" t="s">
        <v>1174</v>
      </c>
      <c r="E45" s="74" t="s">
        <v>1175</v>
      </c>
      <c r="F45" s="74"/>
      <c r="G45" s="81" t="s">
        <v>1176</v>
      </c>
      <c r="H45" s="81" t="s">
        <v>1177</v>
      </c>
      <c r="I45" s="39" t="s">
        <v>682</v>
      </c>
      <c r="J45" s="29" t="s">
        <v>683</v>
      </c>
      <c r="K45" s="29" t="s">
        <v>73</v>
      </c>
      <c r="L45" s="191">
        <v>45124</v>
      </c>
      <c r="M45" s="29" t="s">
        <v>834</v>
      </c>
      <c r="N45" s="29" t="s">
        <v>834</v>
      </c>
      <c r="O45" s="27">
        <v>3520</v>
      </c>
      <c r="P45" s="27"/>
      <c r="Q45" s="27"/>
      <c r="R45" s="142"/>
      <c r="S45" s="31"/>
      <c r="T45" s="31"/>
      <c r="U45" s="44"/>
      <c r="V45" s="44"/>
      <c r="W45" s="44"/>
      <c r="X45" s="44"/>
      <c r="Y45" s="44"/>
      <c r="Z45" s="44"/>
      <c r="AA45" s="44"/>
      <c r="AB45" s="44"/>
      <c r="AC45" s="44"/>
      <c r="AD45" s="44"/>
      <c r="AE45" s="44"/>
      <c r="AF45" s="44"/>
      <c r="AG45" s="44"/>
      <c r="AH45" s="44"/>
      <c r="AI45" s="44"/>
      <c r="AJ45" s="44"/>
      <c r="AK45" s="44"/>
    </row>
    <row r="46" spans="1:37" ht="15.75" customHeight="1">
      <c r="A46" s="27">
        <f>Office_Resigned!A47+1</f>
        <v>44</v>
      </c>
      <c r="B46" s="12" t="s">
        <v>400</v>
      </c>
      <c r="C46" s="73" t="s">
        <v>1178</v>
      </c>
      <c r="D46" s="31" t="s">
        <v>1179</v>
      </c>
      <c r="E46" s="74" t="s">
        <v>1180</v>
      </c>
      <c r="F46" s="31"/>
      <c r="G46" s="31" t="s">
        <v>1152</v>
      </c>
      <c r="H46" s="131" t="s">
        <v>1181</v>
      </c>
      <c r="I46" s="39" t="s">
        <v>682</v>
      </c>
      <c r="J46" s="29" t="s">
        <v>683</v>
      </c>
      <c r="K46" s="29" t="s">
        <v>73</v>
      </c>
      <c r="L46" s="143">
        <v>45180</v>
      </c>
      <c r="M46" s="29" t="s">
        <v>834</v>
      </c>
      <c r="N46" s="29" t="s">
        <v>834</v>
      </c>
      <c r="O46" s="27">
        <v>5430</v>
      </c>
      <c r="P46" s="27" t="s">
        <v>803</v>
      </c>
      <c r="Q46" s="27" t="s">
        <v>803</v>
      </c>
      <c r="R46" s="142"/>
      <c r="S46" s="31"/>
      <c r="T46" s="31"/>
      <c r="U46" s="44"/>
      <c r="V46" s="44"/>
      <c r="W46" s="44"/>
      <c r="X46" s="44"/>
      <c r="Y46" s="44"/>
      <c r="Z46" s="44"/>
      <c r="AA46" s="44"/>
      <c r="AB46" s="44"/>
      <c r="AC46" s="44"/>
      <c r="AD46" s="44"/>
      <c r="AE46" s="44"/>
      <c r="AF46" s="44"/>
      <c r="AG46" s="44"/>
      <c r="AH46" s="44"/>
      <c r="AI46" s="44"/>
      <c r="AJ46" s="44"/>
      <c r="AK46" s="44"/>
    </row>
    <row r="47" spans="1:37" ht="15.75" customHeight="1">
      <c r="A47" s="27">
        <f>VN_Emails!A43+1</f>
        <v>43</v>
      </c>
      <c r="B47" s="22" t="s">
        <v>65</v>
      </c>
      <c r="C47" s="73"/>
      <c r="D47" s="74" t="s">
        <v>1182</v>
      </c>
      <c r="E47" s="74" t="s">
        <v>1183</v>
      </c>
      <c r="F47" s="74"/>
      <c r="G47" s="83" t="s">
        <v>844</v>
      </c>
      <c r="H47" s="131" t="s">
        <v>533</v>
      </c>
      <c r="I47" s="39" t="s">
        <v>653</v>
      </c>
      <c r="J47" s="29" t="s">
        <v>683</v>
      </c>
      <c r="K47" s="29" t="s">
        <v>73</v>
      </c>
      <c r="L47" s="191">
        <v>45176</v>
      </c>
      <c r="M47" s="29" t="s">
        <v>653</v>
      </c>
      <c r="N47" s="27" t="s">
        <v>654</v>
      </c>
      <c r="O47" s="27" t="s">
        <v>856</v>
      </c>
      <c r="P47" s="27"/>
      <c r="Q47" s="27"/>
      <c r="R47" s="142"/>
      <c r="S47" s="31"/>
      <c r="T47" s="31"/>
      <c r="U47" s="44"/>
      <c r="V47" s="44"/>
      <c r="W47" s="44"/>
      <c r="X47" s="44"/>
      <c r="Y47" s="44"/>
      <c r="Z47" s="44"/>
      <c r="AA47" s="44"/>
      <c r="AB47" s="44"/>
      <c r="AC47" s="44"/>
      <c r="AD47" s="44"/>
      <c r="AE47" s="44"/>
      <c r="AF47" s="44"/>
      <c r="AG47" s="44"/>
      <c r="AH47" s="44"/>
      <c r="AI47" s="44"/>
      <c r="AJ47" s="44"/>
      <c r="AK47" s="44"/>
    </row>
    <row r="48" spans="1:37" ht="15.75" customHeight="1">
      <c r="A48" s="27">
        <f>Office_Resigned!A64+1</f>
        <v>20</v>
      </c>
      <c r="B48" s="27"/>
      <c r="C48" s="73" t="s">
        <v>1184</v>
      </c>
      <c r="D48" s="74" t="s">
        <v>1185</v>
      </c>
      <c r="E48" s="74" t="s">
        <v>1186</v>
      </c>
      <c r="F48" s="74"/>
      <c r="G48" s="74"/>
      <c r="H48" s="131" t="s">
        <v>761</v>
      </c>
      <c r="I48" s="27" t="s">
        <v>682</v>
      </c>
      <c r="J48" s="29" t="s">
        <v>683</v>
      </c>
      <c r="K48" s="29" t="s">
        <v>73</v>
      </c>
      <c r="L48" s="189">
        <v>44980</v>
      </c>
      <c r="M48" s="29" t="s">
        <v>803</v>
      </c>
      <c r="N48" s="29" t="s">
        <v>803</v>
      </c>
      <c r="O48" s="27">
        <v>3520</v>
      </c>
      <c r="P48" s="27" t="s">
        <v>803</v>
      </c>
      <c r="Q48" s="27" t="s">
        <v>803</v>
      </c>
      <c r="R48" s="142"/>
      <c r="S48" s="31"/>
      <c r="T48" s="31"/>
      <c r="U48" s="44"/>
      <c r="V48" s="44"/>
      <c r="W48" s="44"/>
      <c r="X48" s="44"/>
      <c r="Y48" s="44"/>
      <c r="Z48" s="44"/>
      <c r="AA48" s="44"/>
      <c r="AB48" s="44"/>
      <c r="AC48" s="44"/>
      <c r="AD48" s="44"/>
      <c r="AE48" s="44"/>
      <c r="AF48" s="44"/>
      <c r="AG48" s="44"/>
      <c r="AH48" s="44"/>
      <c r="AI48" s="44"/>
      <c r="AJ48" s="44"/>
      <c r="AK48" s="44"/>
    </row>
    <row r="49" spans="1:37" ht="15.75" customHeight="1">
      <c r="A49" s="27">
        <f>VN_Emails!A29+1</f>
        <v>29</v>
      </c>
      <c r="B49" s="12" t="s">
        <v>118</v>
      </c>
      <c r="C49" s="73" t="s">
        <v>1187</v>
      </c>
      <c r="D49" s="74" t="s">
        <v>1188</v>
      </c>
      <c r="E49" s="74" t="s">
        <v>1189</v>
      </c>
      <c r="F49" s="74"/>
      <c r="G49" s="74"/>
      <c r="H49" s="131" t="s">
        <v>1190</v>
      </c>
      <c r="I49" s="27" t="s">
        <v>682</v>
      </c>
      <c r="J49" s="29" t="s">
        <v>683</v>
      </c>
      <c r="K49" s="29" t="s">
        <v>73</v>
      </c>
      <c r="L49" s="189"/>
      <c r="M49" s="29"/>
      <c r="N49" s="29"/>
      <c r="O49" s="27"/>
      <c r="P49" s="27"/>
      <c r="Q49" s="27"/>
      <c r="R49" s="142"/>
      <c r="S49" s="31" t="s">
        <v>757</v>
      </c>
      <c r="T49" s="31"/>
      <c r="U49" s="44"/>
      <c r="V49" s="44"/>
      <c r="W49" s="44"/>
      <c r="X49" s="44"/>
      <c r="Y49" s="44"/>
      <c r="Z49" s="44"/>
      <c r="AA49" s="44"/>
      <c r="AB49" s="44"/>
      <c r="AC49" s="44"/>
      <c r="AD49" s="44"/>
      <c r="AE49" s="44"/>
      <c r="AF49" s="44"/>
      <c r="AG49" s="44"/>
      <c r="AH49" s="44"/>
      <c r="AI49" s="44"/>
      <c r="AJ49" s="44"/>
      <c r="AK49" s="44"/>
    </row>
    <row r="50" spans="1:37" ht="15.75" customHeight="1">
      <c r="A50" s="27">
        <f>VN_Emails!A34+1</f>
        <v>34</v>
      </c>
      <c r="B50" s="12" t="s">
        <v>426</v>
      </c>
      <c r="C50" s="73" t="s">
        <v>1191</v>
      </c>
      <c r="D50" s="74" t="s">
        <v>1192</v>
      </c>
      <c r="E50" s="74" t="s">
        <v>1193</v>
      </c>
      <c r="F50" s="74"/>
      <c r="G50" s="25" t="s">
        <v>54</v>
      </c>
      <c r="H50" s="42" t="s">
        <v>1194</v>
      </c>
      <c r="I50" s="39" t="s">
        <v>682</v>
      </c>
      <c r="J50" s="29" t="s">
        <v>683</v>
      </c>
      <c r="K50" s="29" t="s">
        <v>73</v>
      </c>
      <c r="L50" s="193">
        <v>45026</v>
      </c>
      <c r="M50" s="28" t="s">
        <v>803</v>
      </c>
      <c r="N50" s="28" t="s">
        <v>803</v>
      </c>
      <c r="O50" s="39">
        <v>5430</v>
      </c>
      <c r="P50" s="39"/>
      <c r="Q50" s="39"/>
      <c r="R50" s="194"/>
      <c r="S50" s="30"/>
      <c r="T50" s="31"/>
      <c r="U50" s="44"/>
      <c r="V50" s="44"/>
      <c r="W50" s="44"/>
      <c r="X50" s="44"/>
      <c r="Y50" s="44"/>
      <c r="Z50" s="44"/>
      <c r="AA50" s="44"/>
      <c r="AB50" s="44"/>
      <c r="AC50" s="44"/>
      <c r="AD50" s="44"/>
      <c r="AE50" s="44"/>
      <c r="AF50" s="44"/>
      <c r="AG50" s="44"/>
      <c r="AH50" s="44"/>
      <c r="AI50" s="44"/>
      <c r="AJ50" s="44"/>
      <c r="AK50" s="44"/>
    </row>
    <row r="51" spans="1:37" ht="40.5" customHeight="1">
      <c r="A51" s="27">
        <f>Office_Resigned!A57+1</f>
        <v>19</v>
      </c>
      <c r="B51" s="12" t="s">
        <v>191</v>
      </c>
      <c r="C51" s="73" t="s">
        <v>1195</v>
      </c>
      <c r="D51" s="74" t="s">
        <v>1196</v>
      </c>
      <c r="E51" s="74" t="s">
        <v>1197</v>
      </c>
      <c r="F51" s="74"/>
      <c r="G51" s="74"/>
      <c r="H51" s="131" t="s">
        <v>1198</v>
      </c>
      <c r="I51" s="27" t="s">
        <v>682</v>
      </c>
      <c r="J51" s="29" t="s">
        <v>683</v>
      </c>
      <c r="K51" s="29" t="s">
        <v>73</v>
      </c>
      <c r="L51" s="189"/>
      <c r="M51" s="29"/>
      <c r="N51" s="29"/>
      <c r="O51" s="27"/>
      <c r="P51" s="27"/>
      <c r="Q51" s="27"/>
      <c r="R51" s="142"/>
      <c r="S51" s="31" t="s">
        <v>700</v>
      </c>
      <c r="T51" s="31"/>
      <c r="U51" s="44"/>
      <c r="V51" s="44"/>
      <c r="W51" s="44"/>
      <c r="X51" s="44"/>
      <c r="Y51" s="44"/>
      <c r="Z51" s="44"/>
      <c r="AA51" s="44"/>
      <c r="AB51" s="44"/>
      <c r="AC51" s="44"/>
      <c r="AD51" s="44"/>
      <c r="AE51" s="44"/>
      <c r="AF51" s="44"/>
      <c r="AG51" s="44"/>
      <c r="AH51" s="44"/>
      <c r="AI51" s="44"/>
      <c r="AJ51" s="44"/>
      <c r="AK51" s="44"/>
    </row>
    <row r="52" spans="1:37" ht="15.75" customHeight="1">
      <c r="A52" s="27">
        <f>VN_Emails!A42+1</f>
        <v>42</v>
      </c>
      <c r="B52" s="12" t="s">
        <v>518</v>
      </c>
      <c r="C52" s="73" t="s">
        <v>1199</v>
      </c>
      <c r="D52" s="74" t="s">
        <v>1200</v>
      </c>
      <c r="E52" s="74" t="s">
        <v>1201</v>
      </c>
      <c r="F52" s="74" t="s">
        <v>1202</v>
      </c>
      <c r="G52" s="81" t="s">
        <v>870</v>
      </c>
      <c r="H52" s="81" t="s">
        <v>711</v>
      </c>
      <c r="I52" s="39" t="s">
        <v>682</v>
      </c>
      <c r="J52" s="29" t="s">
        <v>683</v>
      </c>
      <c r="K52" s="29" t="s">
        <v>73</v>
      </c>
      <c r="L52" s="191">
        <v>45159</v>
      </c>
      <c r="M52" s="29" t="s">
        <v>834</v>
      </c>
      <c r="N52" s="29" t="s">
        <v>834</v>
      </c>
      <c r="O52" s="27">
        <v>3520</v>
      </c>
      <c r="P52" s="27" t="s">
        <v>803</v>
      </c>
      <c r="Q52" s="27" t="s">
        <v>803</v>
      </c>
      <c r="R52" s="142"/>
      <c r="S52" s="31"/>
      <c r="T52" s="31"/>
      <c r="U52" s="44"/>
      <c r="V52" s="44"/>
      <c r="W52" s="44"/>
      <c r="X52" s="44"/>
      <c r="Y52" s="44"/>
      <c r="Z52" s="44"/>
      <c r="AA52" s="44"/>
      <c r="AB52" s="44"/>
      <c r="AC52" s="44"/>
      <c r="AD52" s="44"/>
      <c r="AE52" s="44"/>
      <c r="AF52" s="44"/>
      <c r="AG52" s="44"/>
      <c r="AH52" s="44"/>
      <c r="AI52" s="44"/>
      <c r="AJ52" s="44"/>
      <c r="AK52" s="44"/>
    </row>
    <row r="53" spans="1:37" ht="15.75" customHeight="1">
      <c r="A53" s="27">
        <f>VN_Emails!A55+1</f>
        <v>55</v>
      </c>
      <c r="B53" s="155" t="s">
        <v>503</v>
      </c>
      <c r="C53" s="82" t="s">
        <v>1203</v>
      </c>
      <c r="D53" s="31" t="s">
        <v>1204</v>
      </c>
      <c r="E53" s="31" t="s">
        <v>1205</v>
      </c>
      <c r="F53" s="31"/>
      <c r="G53" s="31" t="s">
        <v>1172</v>
      </c>
      <c r="H53" s="15" t="s">
        <v>1206</v>
      </c>
      <c r="I53" s="27" t="s">
        <v>924</v>
      </c>
      <c r="J53" s="29" t="s">
        <v>683</v>
      </c>
      <c r="K53" s="29" t="s">
        <v>73</v>
      </c>
      <c r="L53" s="143">
        <v>45453</v>
      </c>
      <c r="M53" s="29" t="s">
        <v>834</v>
      </c>
      <c r="N53" s="29"/>
      <c r="O53" s="27"/>
      <c r="P53" s="27"/>
      <c r="Q53" s="27"/>
      <c r="R53" s="142"/>
      <c r="S53" s="31"/>
      <c r="T53" s="31"/>
      <c r="U53" s="44"/>
      <c r="V53" s="44"/>
      <c r="W53" s="44"/>
      <c r="X53" s="44"/>
      <c r="Y53" s="44"/>
      <c r="Z53" s="44"/>
      <c r="AA53" s="44"/>
      <c r="AB53" s="44"/>
      <c r="AC53" s="44"/>
      <c r="AD53" s="44"/>
      <c r="AE53" s="44"/>
      <c r="AF53" s="44"/>
      <c r="AG53" s="44"/>
      <c r="AH53" s="44"/>
      <c r="AI53" s="44"/>
      <c r="AJ53" s="44"/>
      <c r="AK53" s="44"/>
    </row>
    <row r="54" spans="1:37" ht="15.75" customHeight="1">
      <c r="A54" s="27">
        <v>19</v>
      </c>
      <c r="B54" s="12" t="s">
        <v>410</v>
      </c>
      <c r="C54" s="73" t="s">
        <v>1207</v>
      </c>
      <c r="D54" s="74" t="s">
        <v>1208</v>
      </c>
      <c r="E54" s="74" t="s">
        <v>1209</v>
      </c>
      <c r="F54" s="74"/>
      <c r="G54" s="74" t="s">
        <v>816</v>
      </c>
      <c r="H54" s="131" t="s">
        <v>728</v>
      </c>
      <c r="I54" s="27" t="s">
        <v>682</v>
      </c>
      <c r="J54" s="29" t="s">
        <v>683</v>
      </c>
      <c r="K54" s="29" t="s">
        <v>73</v>
      </c>
      <c r="L54" s="189">
        <v>44986</v>
      </c>
      <c r="M54" s="29" t="s">
        <v>803</v>
      </c>
      <c r="N54" s="29" t="s">
        <v>803</v>
      </c>
      <c r="O54" s="27">
        <v>3520</v>
      </c>
      <c r="P54" s="27" t="s">
        <v>803</v>
      </c>
      <c r="Q54" s="27" t="s">
        <v>803</v>
      </c>
      <c r="R54" s="151" t="s">
        <v>1210</v>
      </c>
      <c r="S54" s="31"/>
      <c r="T54" s="31"/>
      <c r="U54" s="44"/>
      <c r="V54" s="44"/>
      <c r="W54" s="44"/>
      <c r="X54" s="44"/>
      <c r="Y54" s="44"/>
      <c r="Z54" s="44"/>
      <c r="AA54" s="44"/>
      <c r="AB54" s="44"/>
      <c r="AC54" s="44"/>
      <c r="AD54" s="44"/>
      <c r="AE54" s="44"/>
      <c r="AF54" s="44"/>
      <c r="AG54" s="44"/>
      <c r="AH54" s="44"/>
      <c r="AI54" s="44"/>
      <c r="AJ54" s="44"/>
      <c r="AK54" s="44"/>
    </row>
    <row r="55" spans="1:37" ht="15.75" customHeight="1">
      <c r="A55" s="27">
        <f>VN_Emails!A58+1</f>
        <v>58</v>
      </c>
      <c r="B55" s="158" t="s">
        <v>118</v>
      </c>
      <c r="C55" s="80" t="s">
        <v>1211</v>
      </c>
      <c r="D55" s="31" t="s">
        <v>1212</v>
      </c>
      <c r="E55" s="31" t="s">
        <v>1213</v>
      </c>
      <c r="F55" s="31"/>
      <c r="G55" s="31" t="s">
        <v>1214</v>
      </c>
      <c r="H55" s="31" t="s">
        <v>1215</v>
      </c>
      <c r="I55" s="27" t="s">
        <v>682</v>
      </c>
      <c r="J55" s="29" t="s">
        <v>683</v>
      </c>
      <c r="K55" s="29" t="s">
        <v>73</v>
      </c>
      <c r="L55" s="143">
        <v>45484</v>
      </c>
      <c r="M55" s="29" t="s">
        <v>834</v>
      </c>
      <c r="N55" s="29"/>
      <c r="O55" s="27"/>
      <c r="P55" s="27"/>
      <c r="Q55" s="27"/>
      <c r="R55" s="142"/>
      <c r="S55" s="31"/>
      <c r="T55" s="31"/>
      <c r="U55" s="44"/>
      <c r="V55" s="44"/>
      <c r="W55" s="44"/>
      <c r="X55" s="44"/>
      <c r="Y55" s="44"/>
      <c r="Z55" s="44"/>
      <c r="AA55" s="44"/>
      <c r="AB55" s="44"/>
      <c r="AC55" s="44"/>
      <c r="AD55" s="44"/>
      <c r="AE55" s="44"/>
      <c r="AF55" s="44"/>
      <c r="AG55" s="44"/>
      <c r="AH55" s="44"/>
      <c r="AI55" s="44"/>
      <c r="AJ55" s="44"/>
      <c r="AK55" s="44"/>
    </row>
    <row r="56" spans="1:37" ht="15.75" customHeight="1">
      <c r="A56" s="27">
        <f>VN_Emails!A21+1</f>
        <v>21</v>
      </c>
      <c r="B56" s="12" t="s">
        <v>491</v>
      </c>
      <c r="C56" s="73" t="s">
        <v>1216</v>
      </c>
      <c r="D56" s="74" t="s">
        <v>1217</v>
      </c>
      <c r="E56" s="74" t="s">
        <v>1218</v>
      </c>
      <c r="F56" s="74"/>
      <c r="G56" s="74"/>
      <c r="H56" s="131" t="s">
        <v>1219</v>
      </c>
      <c r="I56" s="27" t="s">
        <v>682</v>
      </c>
      <c r="J56" s="29" t="s">
        <v>683</v>
      </c>
      <c r="K56" s="29" t="s">
        <v>73</v>
      </c>
      <c r="L56" s="189">
        <v>45596</v>
      </c>
      <c r="M56" s="29"/>
      <c r="N56" s="29"/>
      <c r="O56" s="27"/>
      <c r="P56" s="27"/>
      <c r="Q56" s="27"/>
      <c r="R56" s="142"/>
      <c r="S56" s="31" t="s">
        <v>757</v>
      </c>
      <c r="T56" s="31"/>
      <c r="U56" s="44"/>
      <c r="V56" s="44"/>
      <c r="W56" s="44"/>
      <c r="X56" s="44"/>
      <c r="Y56" s="44"/>
      <c r="Z56" s="44"/>
      <c r="AA56" s="44"/>
      <c r="AB56" s="44"/>
      <c r="AC56" s="44"/>
      <c r="AD56" s="44"/>
      <c r="AE56" s="44"/>
      <c r="AF56" s="44"/>
      <c r="AG56" s="44"/>
      <c r="AH56" s="44"/>
      <c r="AI56" s="44"/>
      <c r="AJ56" s="44"/>
      <c r="AK56" s="44"/>
    </row>
    <row r="57" spans="1:37" ht="15.75" customHeight="1">
      <c r="A57" s="27">
        <v>18</v>
      </c>
      <c r="B57" s="6" t="s">
        <v>547</v>
      </c>
      <c r="C57" s="73" t="s">
        <v>1220</v>
      </c>
      <c r="D57" s="74" t="s">
        <v>1221</v>
      </c>
      <c r="E57" s="74" t="s">
        <v>1222</v>
      </c>
      <c r="F57" s="74"/>
      <c r="G57" s="74"/>
      <c r="H57" s="131" t="s">
        <v>748</v>
      </c>
      <c r="I57" s="27" t="s">
        <v>682</v>
      </c>
      <c r="J57" s="29" t="s">
        <v>683</v>
      </c>
      <c r="K57" s="29" t="s">
        <v>73</v>
      </c>
      <c r="L57" s="189">
        <v>45597</v>
      </c>
      <c r="M57" s="29"/>
      <c r="N57" s="29"/>
      <c r="O57" s="27"/>
      <c r="P57" s="27"/>
      <c r="Q57" s="27"/>
      <c r="R57" s="142"/>
      <c r="S57" s="31" t="s">
        <v>757</v>
      </c>
      <c r="T57" s="31"/>
      <c r="U57" s="44"/>
      <c r="V57" s="44"/>
      <c r="W57" s="44"/>
      <c r="X57" s="44"/>
      <c r="Y57" s="44"/>
      <c r="Z57" s="44"/>
      <c r="AA57" s="44"/>
      <c r="AB57" s="44"/>
      <c r="AC57" s="44"/>
      <c r="AD57" s="44"/>
      <c r="AE57" s="44"/>
      <c r="AF57" s="44"/>
      <c r="AG57" s="44"/>
      <c r="AH57" s="44"/>
      <c r="AI57" s="44"/>
      <c r="AJ57" s="44"/>
      <c r="AK57" s="44"/>
    </row>
    <row r="58" spans="1:37" ht="29.25" customHeight="1">
      <c r="A58" s="27">
        <v>19</v>
      </c>
      <c r="B58" s="6" t="s">
        <v>553</v>
      </c>
      <c r="C58" s="31" t="s">
        <v>1223</v>
      </c>
      <c r="D58" s="15" t="s">
        <v>1224</v>
      </c>
      <c r="E58" s="15" t="s">
        <v>1224</v>
      </c>
      <c r="F58" s="31"/>
      <c r="G58" s="31" t="s">
        <v>1225</v>
      </c>
      <c r="H58" s="31" t="s">
        <v>1225</v>
      </c>
      <c r="I58" s="29" t="s">
        <v>924</v>
      </c>
      <c r="J58" s="29" t="s">
        <v>683</v>
      </c>
      <c r="K58" s="29" t="s">
        <v>73</v>
      </c>
      <c r="L58" s="197">
        <v>45590</v>
      </c>
      <c r="M58" s="27"/>
      <c r="N58" s="29"/>
      <c r="O58" s="29"/>
      <c r="P58" s="27"/>
      <c r="Q58" s="27"/>
      <c r="R58" s="31"/>
      <c r="S58" s="31"/>
      <c r="T58" s="31"/>
      <c r="U58" s="44"/>
      <c r="V58" s="44"/>
      <c r="W58" s="44"/>
      <c r="X58" s="44"/>
      <c r="Y58" s="44"/>
      <c r="Z58" s="44"/>
      <c r="AA58" s="44"/>
      <c r="AB58" s="44"/>
      <c r="AC58" s="44"/>
      <c r="AD58" s="44"/>
      <c r="AE58" s="44"/>
      <c r="AF58" s="44"/>
      <c r="AG58" s="44"/>
      <c r="AH58" s="44"/>
      <c r="AI58" s="44"/>
      <c r="AJ58" s="44"/>
      <c r="AK58" s="44"/>
    </row>
    <row r="59" spans="1:37" ht="15.75" customHeight="1">
      <c r="A59" s="27">
        <v>1</v>
      </c>
      <c r="B59" s="12" t="s">
        <v>71</v>
      </c>
      <c r="C59" s="73" t="s">
        <v>1226</v>
      </c>
      <c r="D59" s="74" t="s">
        <v>1227</v>
      </c>
      <c r="E59" s="74" t="s">
        <v>1227</v>
      </c>
      <c r="F59" s="74" t="s">
        <v>1228</v>
      </c>
      <c r="G59" s="74" t="s">
        <v>1229</v>
      </c>
      <c r="H59" s="131" t="s">
        <v>1230</v>
      </c>
      <c r="I59" s="27" t="s">
        <v>682</v>
      </c>
      <c r="J59" s="29" t="s">
        <v>683</v>
      </c>
      <c r="K59" s="29" t="s">
        <v>73</v>
      </c>
      <c r="L59" s="189"/>
      <c r="M59" s="29"/>
      <c r="N59" s="29"/>
      <c r="O59" s="27"/>
      <c r="P59" s="27"/>
      <c r="Q59" s="27"/>
      <c r="R59" s="142"/>
      <c r="S59" s="31" t="s">
        <v>1231</v>
      </c>
      <c r="T59" s="31"/>
      <c r="U59" s="31"/>
      <c r="V59" s="31"/>
      <c r="W59" s="31"/>
      <c r="X59" s="31"/>
      <c r="Y59" s="31"/>
      <c r="Z59" s="31"/>
      <c r="AA59" s="31"/>
      <c r="AB59" s="31"/>
      <c r="AC59" s="31"/>
      <c r="AD59" s="31"/>
      <c r="AE59" s="31"/>
      <c r="AF59" s="31"/>
      <c r="AG59" s="31"/>
      <c r="AH59" s="31"/>
      <c r="AI59" s="31"/>
      <c r="AJ59" s="31"/>
      <c r="AK59" s="31"/>
    </row>
    <row r="60" spans="1:37" ht="15.75" customHeight="1">
      <c r="A60" s="52">
        <f>VN_Emails!A86+1</f>
        <v>11</v>
      </c>
      <c r="B60" s="67" t="s">
        <v>219</v>
      </c>
      <c r="C60" s="101" t="s">
        <v>1232</v>
      </c>
      <c r="D60" s="144" t="s">
        <v>1233</v>
      </c>
      <c r="E60" s="144" t="s">
        <v>1234</v>
      </c>
      <c r="F60" s="144"/>
      <c r="G60" s="144" t="s">
        <v>662</v>
      </c>
      <c r="H60" s="145" t="s">
        <v>1058</v>
      </c>
      <c r="I60" s="146" t="s">
        <v>682</v>
      </c>
      <c r="J60" s="147" t="s">
        <v>683</v>
      </c>
      <c r="K60" s="147" t="s">
        <v>73</v>
      </c>
      <c r="L60" s="148">
        <v>45257</v>
      </c>
      <c r="M60" s="147" t="s">
        <v>898</v>
      </c>
      <c r="N60" s="147" t="s">
        <v>899</v>
      </c>
      <c r="O60" s="146" t="s">
        <v>881</v>
      </c>
      <c r="P60" s="146"/>
      <c r="Q60" s="146"/>
      <c r="R60" s="149" t="s">
        <v>1235</v>
      </c>
      <c r="S60" s="31"/>
      <c r="T60" s="44"/>
      <c r="U60" s="44"/>
      <c r="V60" s="44"/>
      <c r="W60" s="44"/>
      <c r="X60" s="44"/>
      <c r="Y60" s="44"/>
      <c r="Z60" s="44"/>
      <c r="AA60" s="44"/>
      <c r="AB60" s="44"/>
      <c r="AC60" s="44"/>
      <c r="AD60" s="44"/>
      <c r="AE60" s="44"/>
      <c r="AF60" s="44"/>
      <c r="AG60" s="44"/>
      <c r="AH60" s="44"/>
      <c r="AI60" s="44"/>
      <c r="AJ60" s="44"/>
      <c r="AK60" s="44"/>
    </row>
    <row r="61" spans="1:37" ht="15.75" customHeight="1">
      <c r="A61" s="52">
        <v>26</v>
      </c>
      <c r="B61" s="67" t="s">
        <v>487</v>
      </c>
      <c r="C61" s="75" t="s">
        <v>1236</v>
      </c>
      <c r="D61" s="76" t="s">
        <v>1237</v>
      </c>
      <c r="E61" s="76" t="s">
        <v>64</v>
      </c>
      <c r="F61" s="76"/>
      <c r="G61" s="200" t="s">
        <v>1238</v>
      </c>
      <c r="H61" s="200" t="s">
        <v>1239</v>
      </c>
      <c r="I61" s="150" t="s">
        <v>682</v>
      </c>
      <c r="J61" s="84" t="s">
        <v>683</v>
      </c>
      <c r="K61" s="84" t="s">
        <v>73</v>
      </c>
      <c r="L61" s="201">
        <v>45110</v>
      </c>
      <c r="M61" s="84" t="s">
        <v>834</v>
      </c>
      <c r="N61" s="84" t="s">
        <v>834</v>
      </c>
      <c r="O61" s="53">
        <v>3520</v>
      </c>
      <c r="P61" s="53"/>
      <c r="Q61" s="52"/>
      <c r="R61" s="139"/>
      <c r="S61" s="140"/>
      <c r="T61" s="44"/>
      <c r="U61" s="44"/>
      <c r="V61" s="44"/>
      <c r="W61" s="44"/>
      <c r="X61" s="44"/>
      <c r="Y61" s="44"/>
      <c r="Z61" s="44"/>
      <c r="AA61" s="44"/>
      <c r="AB61" s="44"/>
      <c r="AC61" s="44"/>
      <c r="AD61" s="44"/>
      <c r="AE61" s="44"/>
      <c r="AF61" s="44"/>
      <c r="AG61" s="44"/>
      <c r="AH61" s="44"/>
      <c r="AI61" s="44"/>
      <c r="AJ61" s="44"/>
      <c r="AK61" s="44"/>
    </row>
    <row r="62" spans="1:37" ht="15.75" customHeight="1">
      <c r="A62" s="44"/>
      <c r="B62" s="6" t="s">
        <v>553</v>
      </c>
      <c r="C62" s="198" t="s">
        <v>1240</v>
      </c>
      <c r="D62" s="31" t="s">
        <v>1241</v>
      </c>
      <c r="E62" s="31" t="s">
        <v>1242</v>
      </c>
      <c r="F62" s="31"/>
      <c r="G62" s="31" t="s">
        <v>1243</v>
      </c>
      <c r="H62" s="31" t="s">
        <v>662</v>
      </c>
      <c r="I62" s="131" t="s">
        <v>924</v>
      </c>
      <c r="J62" s="27" t="s">
        <v>683</v>
      </c>
      <c r="K62" s="29" t="s">
        <v>73</v>
      </c>
      <c r="L62" s="199">
        <v>45624</v>
      </c>
      <c r="M62" s="29" t="s">
        <v>834</v>
      </c>
      <c r="N62" s="29" t="s">
        <v>834</v>
      </c>
      <c r="O62" s="27" t="s">
        <v>881</v>
      </c>
      <c r="P62" s="27"/>
      <c r="Q62" s="141"/>
      <c r="R62" s="44"/>
      <c r="S62" s="44"/>
      <c r="T62" s="44"/>
      <c r="U62" s="44"/>
      <c r="V62" s="44"/>
      <c r="W62" s="44"/>
      <c r="X62" s="44"/>
      <c r="Y62" s="44"/>
      <c r="Z62" s="44"/>
      <c r="AA62" s="44"/>
      <c r="AB62" s="44"/>
      <c r="AC62" s="44"/>
      <c r="AD62" s="44"/>
      <c r="AE62" s="44"/>
      <c r="AF62" s="44"/>
      <c r="AG62" s="44"/>
      <c r="AH62" s="44"/>
      <c r="AI62" s="44"/>
      <c r="AJ62" s="44"/>
      <c r="AK62" s="44"/>
    </row>
    <row r="63" spans="1:37" ht="15.75" customHeight="1">
      <c r="A63" s="27">
        <v>25</v>
      </c>
      <c r="B63" s="12" t="s">
        <v>85</v>
      </c>
      <c r="C63" s="73" t="s">
        <v>1244</v>
      </c>
      <c r="D63" s="74" t="s">
        <v>1245</v>
      </c>
      <c r="E63" s="74" t="s">
        <v>1246</v>
      </c>
      <c r="F63" s="74"/>
      <c r="G63" s="81" t="s">
        <v>1247</v>
      </c>
      <c r="H63" s="81" t="s">
        <v>711</v>
      </c>
      <c r="I63" s="39" t="s">
        <v>682</v>
      </c>
      <c r="J63" s="29" t="s">
        <v>683</v>
      </c>
      <c r="K63" s="29" t="s">
        <v>73</v>
      </c>
      <c r="L63" s="191">
        <v>45110</v>
      </c>
      <c r="M63" s="29" t="s">
        <v>834</v>
      </c>
      <c r="N63" s="29" t="s">
        <v>834</v>
      </c>
      <c r="O63" s="27"/>
      <c r="P63" s="27"/>
      <c r="Q63" s="27"/>
      <c r="R63" s="142"/>
      <c r="S63" s="31"/>
      <c r="T63" s="31"/>
      <c r="U63" s="31"/>
      <c r="V63" s="31"/>
      <c r="W63" s="31"/>
      <c r="X63" s="31"/>
      <c r="Y63" s="31"/>
      <c r="Z63" s="31"/>
      <c r="AA63" s="31"/>
      <c r="AB63" s="31"/>
      <c r="AC63" s="31"/>
      <c r="AD63" s="31"/>
      <c r="AE63" s="31"/>
      <c r="AF63" s="31"/>
      <c r="AG63" s="31"/>
      <c r="AH63" s="31"/>
      <c r="AI63" s="31"/>
      <c r="AJ63" s="31"/>
      <c r="AK63" s="31"/>
    </row>
    <row r="64" spans="1:37" ht="15.75" customHeight="1">
      <c r="A64" s="27">
        <f>Office_Resigned!A57+1</f>
        <v>19</v>
      </c>
      <c r="B64" s="12" t="s">
        <v>350</v>
      </c>
      <c r="C64" s="73" t="s">
        <v>1248</v>
      </c>
      <c r="D64" s="74" t="s">
        <v>1249</v>
      </c>
      <c r="E64" s="74" t="s">
        <v>1250</v>
      </c>
      <c r="F64" s="74"/>
      <c r="G64" s="74"/>
      <c r="H64" s="131" t="s">
        <v>1251</v>
      </c>
      <c r="I64" s="27" t="s">
        <v>682</v>
      </c>
      <c r="J64" s="29" t="s">
        <v>683</v>
      </c>
      <c r="K64" s="29" t="s">
        <v>73</v>
      </c>
      <c r="L64" s="189"/>
      <c r="M64" s="29"/>
      <c r="N64" s="29"/>
      <c r="O64" s="27"/>
      <c r="P64" s="27"/>
      <c r="Q64" s="27"/>
      <c r="R64" s="142"/>
      <c r="S64" s="31" t="s">
        <v>712</v>
      </c>
      <c r="T64" s="31"/>
      <c r="U64" s="31"/>
      <c r="V64" s="31"/>
      <c r="W64" s="31"/>
      <c r="X64" s="31"/>
      <c r="Y64" s="31"/>
      <c r="Z64" s="31"/>
      <c r="AA64" s="31"/>
      <c r="AB64" s="31"/>
      <c r="AC64" s="31"/>
      <c r="AD64" s="31"/>
      <c r="AE64" s="31"/>
      <c r="AF64" s="31"/>
      <c r="AG64" s="31"/>
      <c r="AH64" s="31"/>
      <c r="AI64" s="31"/>
      <c r="AJ64" s="31"/>
      <c r="AK64" s="31"/>
    </row>
    <row r="65" spans="1:38" ht="15.75" customHeight="1">
      <c r="A65" s="27">
        <v>3</v>
      </c>
      <c r="B65" s="12" t="s">
        <v>203</v>
      </c>
      <c r="C65" s="73" t="s">
        <v>1252</v>
      </c>
      <c r="D65" s="74" t="s">
        <v>1253</v>
      </c>
      <c r="E65" s="74" t="s">
        <v>1254</v>
      </c>
      <c r="F65" s="74" t="s">
        <v>1255</v>
      </c>
      <c r="G65" s="74"/>
      <c r="H65" s="131" t="s">
        <v>1256</v>
      </c>
      <c r="I65" s="27" t="s">
        <v>682</v>
      </c>
      <c r="J65" s="29" t="s">
        <v>683</v>
      </c>
      <c r="K65" s="29" t="s">
        <v>73</v>
      </c>
      <c r="L65" s="189"/>
      <c r="M65" s="29"/>
      <c r="N65" s="29"/>
      <c r="O65" s="27"/>
      <c r="P65" s="27"/>
      <c r="Q65" s="27"/>
      <c r="R65" s="142"/>
      <c r="S65" s="31" t="s">
        <v>700</v>
      </c>
      <c r="T65" s="31"/>
      <c r="U65" s="31"/>
      <c r="V65" s="31"/>
      <c r="W65" s="31"/>
      <c r="X65" s="31"/>
      <c r="Y65" s="31"/>
      <c r="Z65" s="31"/>
      <c r="AA65" s="31"/>
      <c r="AB65" s="31"/>
      <c r="AC65" s="31"/>
      <c r="AD65" s="31"/>
      <c r="AE65" s="31"/>
      <c r="AF65" s="31"/>
      <c r="AG65" s="31"/>
      <c r="AH65" s="31"/>
      <c r="AI65" s="31"/>
      <c r="AJ65" s="31"/>
      <c r="AK65" s="31"/>
      <c r="AL65" s="44"/>
    </row>
    <row r="66" spans="1:38" ht="15.75" customHeight="1">
      <c r="A66" s="27">
        <v>28</v>
      </c>
      <c r="B66" s="12" t="s">
        <v>232</v>
      </c>
      <c r="C66" s="73" t="s">
        <v>1257</v>
      </c>
      <c r="D66" s="31" t="s">
        <v>1258</v>
      </c>
      <c r="E66" s="74" t="s">
        <v>1259</v>
      </c>
      <c r="F66" s="31"/>
      <c r="G66" s="31" t="s">
        <v>1260</v>
      </c>
      <c r="H66" s="131" t="s">
        <v>1261</v>
      </c>
      <c r="I66" s="39" t="s">
        <v>682</v>
      </c>
      <c r="J66" s="29" t="s">
        <v>683</v>
      </c>
      <c r="K66" s="29" t="s">
        <v>73</v>
      </c>
      <c r="L66" s="143">
        <v>45180</v>
      </c>
      <c r="M66" s="29" t="s">
        <v>834</v>
      </c>
      <c r="N66" s="27" t="s">
        <v>654</v>
      </c>
      <c r="O66" s="27">
        <v>3420</v>
      </c>
      <c r="P66" s="27" t="s">
        <v>803</v>
      </c>
      <c r="Q66" s="27" t="s">
        <v>803</v>
      </c>
      <c r="R66" s="142" t="s">
        <v>1262</v>
      </c>
      <c r="S66" s="31"/>
      <c r="T66" s="31"/>
      <c r="U66" s="31"/>
      <c r="V66" s="31"/>
      <c r="W66" s="31"/>
      <c r="X66" s="31"/>
      <c r="Y66" s="31"/>
      <c r="Z66" s="31"/>
      <c r="AA66" s="31"/>
      <c r="AB66" s="31"/>
      <c r="AC66" s="31"/>
      <c r="AD66" s="31"/>
      <c r="AE66" s="31"/>
      <c r="AF66" s="31"/>
      <c r="AG66" s="31"/>
      <c r="AH66" s="31"/>
      <c r="AI66" s="31"/>
      <c r="AJ66" s="31"/>
      <c r="AK66" s="31"/>
      <c r="AL66" s="44"/>
    </row>
    <row r="67" spans="1:38" ht="15.75" customHeight="1">
      <c r="A67" s="27">
        <v>45</v>
      </c>
      <c r="B67" s="27" t="s">
        <v>174</v>
      </c>
      <c r="C67" s="82" t="s">
        <v>1263</v>
      </c>
      <c r="D67" s="31" t="s">
        <v>1264</v>
      </c>
      <c r="E67" s="31" t="s">
        <v>1265</v>
      </c>
      <c r="F67" s="31"/>
      <c r="G67" s="31" t="s">
        <v>1266</v>
      </c>
      <c r="H67" s="131" t="s">
        <v>1267</v>
      </c>
      <c r="I67" s="27" t="s">
        <v>924</v>
      </c>
      <c r="J67" s="29" t="s">
        <v>683</v>
      </c>
      <c r="K67" s="29" t="s">
        <v>73</v>
      </c>
      <c r="L67" s="143"/>
      <c r="M67" s="29" t="s">
        <v>834</v>
      </c>
      <c r="N67" s="29"/>
      <c r="O67" s="27"/>
      <c r="P67" s="27"/>
      <c r="Q67" s="27"/>
      <c r="R67" s="142"/>
      <c r="S67" s="31"/>
      <c r="T67" s="31"/>
      <c r="U67" s="31"/>
      <c r="V67" s="31"/>
      <c r="W67" s="31"/>
      <c r="X67" s="31"/>
      <c r="Y67" s="31"/>
      <c r="Z67" s="31"/>
      <c r="AA67" s="31"/>
      <c r="AB67" s="31"/>
      <c r="AC67" s="31"/>
      <c r="AD67" s="31"/>
      <c r="AE67" s="31"/>
      <c r="AF67" s="31"/>
      <c r="AG67" s="31"/>
      <c r="AH67" s="31"/>
      <c r="AI67" s="31"/>
      <c r="AJ67" s="31"/>
      <c r="AK67" s="31"/>
      <c r="AL67" s="44"/>
    </row>
    <row r="68" spans="1:38" ht="15.75" customHeight="1">
      <c r="A68" s="27">
        <v>47</v>
      </c>
      <c r="B68" s="6" t="s">
        <v>553</v>
      </c>
      <c r="C68" s="198" t="s">
        <v>1240</v>
      </c>
      <c r="D68" s="31" t="s">
        <v>1241</v>
      </c>
      <c r="E68" s="31" t="s">
        <v>1242</v>
      </c>
      <c r="F68" s="31"/>
      <c r="G68" s="31" t="s">
        <v>1243</v>
      </c>
      <c r="H68" s="31" t="s">
        <v>662</v>
      </c>
      <c r="I68" s="29" t="s">
        <v>924</v>
      </c>
      <c r="J68" s="29" t="s">
        <v>683</v>
      </c>
      <c r="K68" s="29" t="s">
        <v>73</v>
      </c>
      <c r="L68" s="143">
        <v>45601</v>
      </c>
      <c r="M68" s="29" t="s">
        <v>834</v>
      </c>
      <c r="N68" s="29"/>
      <c r="O68" s="27"/>
      <c r="P68" s="27"/>
      <c r="Q68" s="27"/>
      <c r="R68" s="142"/>
      <c r="S68" s="31"/>
      <c r="T68" s="31"/>
      <c r="U68" s="31"/>
      <c r="V68" s="31"/>
      <c r="W68" s="31"/>
      <c r="X68" s="31"/>
      <c r="Y68" s="31"/>
      <c r="Z68" s="31"/>
      <c r="AA68" s="31"/>
      <c r="AB68" s="31"/>
      <c r="AC68" s="31"/>
      <c r="AD68" s="31"/>
      <c r="AE68" s="31"/>
      <c r="AF68" s="31"/>
      <c r="AG68" s="31"/>
      <c r="AH68" s="31"/>
      <c r="AI68" s="31"/>
      <c r="AJ68" s="31"/>
      <c r="AK68" s="31"/>
      <c r="AL68" s="44"/>
    </row>
    <row r="69" spans="1:38" ht="15.75" customHeight="1">
      <c r="A69" s="27">
        <f>A68+1</f>
        <v>48</v>
      </c>
      <c r="B69" s="12" t="s">
        <v>452</v>
      </c>
      <c r="C69" s="73" t="s">
        <v>1268</v>
      </c>
      <c r="D69" s="74" t="s">
        <v>1269</v>
      </c>
      <c r="E69" s="74" t="s">
        <v>1270</v>
      </c>
      <c r="F69" s="74"/>
      <c r="G69" s="81" t="s">
        <v>1271</v>
      </c>
      <c r="H69" s="131" t="s">
        <v>1272</v>
      </c>
      <c r="I69" s="27" t="s">
        <v>682</v>
      </c>
      <c r="J69" s="29" t="s">
        <v>683</v>
      </c>
      <c r="K69" s="29" t="s">
        <v>73</v>
      </c>
      <c r="L69" s="191">
        <v>45075</v>
      </c>
      <c r="M69" s="29" t="s">
        <v>834</v>
      </c>
      <c r="N69" s="29" t="s">
        <v>835</v>
      </c>
      <c r="O69" s="27">
        <v>5430</v>
      </c>
      <c r="P69" s="27"/>
      <c r="Q69" s="27"/>
      <c r="R69" s="142"/>
      <c r="S69" s="31"/>
      <c r="T69" s="31"/>
      <c r="U69" s="31"/>
      <c r="V69" s="31"/>
      <c r="W69" s="31"/>
      <c r="X69" s="31"/>
      <c r="Y69" s="31"/>
      <c r="Z69" s="31"/>
      <c r="AA69" s="31"/>
      <c r="AB69" s="31"/>
      <c r="AC69" s="31"/>
      <c r="AD69" s="31"/>
      <c r="AE69" s="31"/>
      <c r="AF69" s="31"/>
      <c r="AG69" s="31"/>
      <c r="AH69" s="31"/>
      <c r="AI69" s="31"/>
      <c r="AJ69" s="31"/>
      <c r="AK69" s="31"/>
      <c r="AL69" s="44"/>
    </row>
    <row r="70" spans="1:38" ht="15.75" customHeight="1">
      <c r="A70" s="27">
        <v>5</v>
      </c>
      <c r="B70" s="12" t="s">
        <v>370</v>
      </c>
      <c r="C70" s="73" t="s">
        <v>1273</v>
      </c>
      <c r="D70" s="74" t="s">
        <v>1274</v>
      </c>
      <c r="E70" s="74" t="s">
        <v>1275</v>
      </c>
      <c r="F70" s="74"/>
      <c r="G70" s="74"/>
      <c r="H70" s="131" t="s">
        <v>969</v>
      </c>
      <c r="I70" s="27" t="s">
        <v>682</v>
      </c>
      <c r="J70" s="29" t="s">
        <v>683</v>
      </c>
      <c r="K70" s="29" t="s">
        <v>73</v>
      </c>
      <c r="L70" s="189"/>
      <c r="M70" s="29"/>
      <c r="N70" s="29"/>
      <c r="O70" s="27"/>
      <c r="P70" s="27"/>
      <c r="Q70" s="27"/>
      <c r="R70" s="142"/>
      <c r="S70" s="31" t="s">
        <v>700</v>
      </c>
      <c r="T70" s="31"/>
      <c r="U70" s="31"/>
      <c r="V70" s="31"/>
      <c r="W70" s="31"/>
      <c r="X70" s="31"/>
      <c r="Y70" s="31"/>
      <c r="Z70" s="31"/>
      <c r="AA70" s="31"/>
      <c r="AB70" s="31"/>
      <c r="AC70" s="31"/>
      <c r="AD70" s="31"/>
      <c r="AE70" s="31"/>
      <c r="AF70" s="31"/>
      <c r="AG70" s="31"/>
      <c r="AH70" s="31"/>
      <c r="AI70" s="31"/>
      <c r="AJ70" s="31"/>
      <c r="AK70" s="44"/>
      <c r="AL70" s="31"/>
    </row>
    <row r="71" spans="1:38" ht="15.75" customHeight="1">
      <c r="A71" s="27">
        <v>69</v>
      </c>
      <c r="B71" s="12" t="s">
        <v>114</v>
      </c>
      <c r="C71" s="82" t="s">
        <v>1276</v>
      </c>
      <c r="D71" s="31" t="s">
        <v>1277</v>
      </c>
      <c r="E71" s="31" t="s">
        <v>1278</v>
      </c>
      <c r="F71" s="31"/>
      <c r="G71" s="31" t="s">
        <v>1214</v>
      </c>
      <c r="H71" s="131"/>
      <c r="I71" s="27" t="s">
        <v>924</v>
      </c>
      <c r="J71" s="29" t="s">
        <v>683</v>
      </c>
      <c r="K71" s="29" t="s">
        <v>73</v>
      </c>
      <c r="L71" s="143">
        <v>45404</v>
      </c>
      <c r="M71" s="29" t="s">
        <v>834</v>
      </c>
      <c r="N71" s="29"/>
      <c r="O71" s="27"/>
      <c r="P71" s="27"/>
      <c r="Q71" s="27"/>
      <c r="R71" s="142"/>
      <c r="S71" s="31"/>
      <c r="T71" s="31"/>
      <c r="U71" s="31"/>
      <c r="V71" s="31"/>
      <c r="W71" s="31"/>
      <c r="X71" s="31"/>
      <c r="Y71" s="31"/>
      <c r="Z71" s="31"/>
      <c r="AA71" s="31"/>
      <c r="AB71" s="31"/>
      <c r="AC71" s="31"/>
      <c r="AD71" s="31"/>
      <c r="AE71" s="31"/>
      <c r="AF71" s="31"/>
      <c r="AG71" s="31"/>
      <c r="AH71" s="31"/>
      <c r="AI71" s="31"/>
      <c r="AJ71" s="31"/>
      <c r="AK71" s="31"/>
      <c r="AL71" s="44"/>
    </row>
    <row r="72" spans="1:38" ht="15.75" customHeight="1">
      <c r="A72" s="27">
        <v>63</v>
      </c>
      <c r="B72" s="12"/>
      <c r="C72" s="82" t="s">
        <v>1279</v>
      </c>
      <c r="D72" s="31" t="s">
        <v>1280</v>
      </c>
      <c r="E72" s="31" t="s">
        <v>1281</v>
      </c>
      <c r="F72" s="31"/>
      <c r="G72" s="31" t="s">
        <v>663</v>
      </c>
      <c r="H72" s="131" t="s">
        <v>909</v>
      </c>
      <c r="I72" s="27" t="s">
        <v>682</v>
      </c>
      <c r="J72" s="29" t="s">
        <v>683</v>
      </c>
      <c r="K72" s="29" t="s">
        <v>73</v>
      </c>
      <c r="L72" s="143">
        <v>45273</v>
      </c>
      <c r="M72" s="29" t="s">
        <v>803</v>
      </c>
      <c r="N72" s="29" t="s">
        <v>899</v>
      </c>
      <c r="O72" s="27" t="s">
        <v>1282</v>
      </c>
      <c r="P72" s="27"/>
      <c r="Q72" s="27"/>
      <c r="R72" s="27" t="s">
        <v>1282</v>
      </c>
      <c r="S72" s="31"/>
      <c r="T72" s="31"/>
      <c r="U72" s="31"/>
      <c r="V72" s="31"/>
      <c r="W72" s="31"/>
      <c r="X72" s="31"/>
      <c r="Y72" s="31"/>
      <c r="Z72" s="31"/>
      <c r="AA72" s="31"/>
      <c r="AB72" s="31"/>
      <c r="AC72" s="31"/>
      <c r="AD72" s="31"/>
      <c r="AE72" s="31"/>
      <c r="AF72" s="31"/>
      <c r="AG72" s="31"/>
      <c r="AH72" s="31"/>
      <c r="AI72" s="31"/>
      <c r="AJ72" s="31"/>
      <c r="AK72" s="31"/>
      <c r="AL72" s="44"/>
    </row>
    <row r="73" spans="1:38" ht="15.75" customHeight="1">
      <c r="A73" s="27">
        <v>27</v>
      </c>
      <c r="B73" s="12" t="s">
        <v>242</v>
      </c>
      <c r="C73" s="73" t="s">
        <v>1283</v>
      </c>
      <c r="D73" s="74" t="s">
        <v>1284</v>
      </c>
      <c r="E73" s="74" t="s">
        <v>1285</v>
      </c>
      <c r="F73" s="74"/>
      <c r="G73" s="74"/>
      <c r="H73" s="131" t="s">
        <v>719</v>
      </c>
      <c r="I73" s="27" t="s">
        <v>682</v>
      </c>
      <c r="J73" s="29" t="s">
        <v>683</v>
      </c>
      <c r="K73" s="29" t="s">
        <v>73</v>
      </c>
      <c r="L73" s="189"/>
      <c r="M73" s="29"/>
      <c r="N73" s="29"/>
      <c r="O73" s="27"/>
      <c r="P73" s="27"/>
      <c r="Q73" s="27"/>
      <c r="R73" s="142"/>
      <c r="S73" s="192" t="s">
        <v>720</v>
      </c>
      <c r="T73" s="31"/>
      <c r="U73" s="31"/>
      <c r="V73" s="31"/>
      <c r="W73" s="31"/>
      <c r="X73" s="31"/>
      <c r="Y73" s="31"/>
      <c r="Z73" s="31"/>
      <c r="AA73" s="31"/>
      <c r="AB73" s="31"/>
      <c r="AC73" s="31"/>
      <c r="AD73" s="31"/>
      <c r="AE73" s="31"/>
      <c r="AF73" s="31"/>
      <c r="AG73" s="31"/>
      <c r="AH73" s="31"/>
      <c r="AI73" s="31"/>
      <c r="AJ73" s="31"/>
      <c r="AK73" s="31"/>
      <c r="AL73" s="44"/>
    </row>
    <row r="74" spans="1:38" ht="15.75" customHeight="1">
      <c r="A74" s="213">
        <v>34</v>
      </c>
      <c r="B74" s="214" t="s">
        <v>153</v>
      </c>
      <c r="C74" s="215" t="s">
        <v>1286</v>
      </c>
      <c r="D74" s="216" t="s">
        <v>1287</v>
      </c>
      <c r="E74" s="216" t="s">
        <v>1288</v>
      </c>
      <c r="F74" s="216"/>
      <c r="G74" s="223" t="s">
        <v>1030</v>
      </c>
      <c r="H74" s="224" t="s">
        <v>1289</v>
      </c>
      <c r="I74" s="225" t="s">
        <v>682</v>
      </c>
      <c r="J74" s="226" t="s">
        <v>683</v>
      </c>
      <c r="K74" s="218" t="s">
        <v>73</v>
      </c>
      <c r="L74" s="227">
        <v>45015</v>
      </c>
      <c r="M74" s="226" t="s">
        <v>803</v>
      </c>
      <c r="N74" s="226" t="s">
        <v>654</v>
      </c>
      <c r="O74" s="226" t="s">
        <v>654</v>
      </c>
      <c r="P74" s="226" t="s">
        <v>654</v>
      </c>
      <c r="Q74" s="225" t="s">
        <v>803</v>
      </c>
      <c r="R74" s="228" t="s">
        <v>1290</v>
      </c>
      <c r="S74" s="229"/>
      <c r="T74" s="31"/>
      <c r="U74" s="31"/>
      <c r="V74" s="31"/>
      <c r="W74" s="31"/>
      <c r="X74" s="31"/>
      <c r="Y74" s="31"/>
      <c r="Z74" s="31"/>
      <c r="AA74" s="31"/>
      <c r="AB74" s="31"/>
      <c r="AC74" s="31"/>
      <c r="AD74" s="31"/>
      <c r="AE74" s="31"/>
      <c r="AF74" s="31"/>
      <c r="AG74" s="31"/>
      <c r="AH74" s="31"/>
      <c r="AI74" s="31"/>
      <c r="AJ74" s="31"/>
      <c r="AK74" s="31"/>
      <c r="AL74" s="44"/>
    </row>
    <row r="75" spans="1:38" ht="15.75" customHeight="1">
      <c r="A75" s="213">
        <v>60</v>
      </c>
      <c r="B75" s="213" t="s">
        <v>180</v>
      </c>
      <c r="C75" s="239" t="s">
        <v>1291</v>
      </c>
      <c r="D75" s="221" t="s">
        <v>1292</v>
      </c>
      <c r="E75" s="221" t="s">
        <v>1292</v>
      </c>
      <c r="F75" s="221"/>
      <c r="G75" s="221" t="s">
        <v>660</v>
      </c>
      <c r="H75" s="217" t="s">
        <v>953</v>
      </c>
      <c r="I75" s="213" t="s">
        <v>924</v>
      </c>
      <c r="J75" s="218" t="s">
        <v>683</v>
      </c>
      <c r="K75" s="218" t="s">
        <v>73</v>
      </c>
      <c r="L75" s="234">
        <v>45810</v>
      </c>
      <c r="M75" s="218" t="s">
        <v>834</v>
      </c>
      <c r="N75" s="218"/>
      <c r="O75" s="213"/>
      <c r="P75" s="213"/>
      <c r="Q75" s="213"/>
      <c r="R75" s="220"/>
      <c r="S75" s="221"/>
      <c r="T75" s="31"/>
      <c r="U75" s="31"/>
      <c r="V75" s="31"/>
      <c r="W75" s="31"/>
      <c r="X75" s="31"/>
      <c r="Y75" s="31"/>
      <c r="Z75" s="31"/>
      <c r="AA75" s="31"/>
      <c r="AB75" s="31"/>
      <c r="AC75" s="31"/>
      <c r="AD75" s="31"/>
      <c r="AE75" s="31"/>
      <c r="AF75" s="31"/>
      <c r="AG75" s="31"/>
      <c r="AH75" s="31"/>
      <c r="AI75" s="31"/>
      <c r="AJ75" s="31"/>
      <c r="AK75" s="31"/>
      <c r="AL75" s="44"/>
    </row>
  </sheetData>
  <autoFilter ref="A1:T62" xr:uid="{BC5C782F-8BB7-4471-A0A9-FC89DFEE1CFE}"/>
  <mergeCells count="20">
    <mergeCell ref="T1:T2"/>
    <mergeCell ref="P1:P2"/>
    <mergeCell ref="Q1:Q2"/>
    <mergeCell ref="R1:R2"/>
    <mergeCell ref="H1:H2"/>
    <mergeCell ref="S1:S2"/>
    <mergeCell ref="K1:K2"/>
    <mergeCell ref="L1:L2"/>
    <mergeCell ref="M1:M2"/>
    <mergeCell ref="O1:O2"/>
    <mergeCell ref="J1:J2"/>
    <mergeCell ref="C1:C2"/>
    <mergeCell ref="G1:G2"/>
    <mergeCell ref="N1:N2"/>
    <mergeCell ref="A1:A2"/>
    <mergeCell ref="B1:B2"/>
    <mergeCell ref="E1:E2"/>
    <mergeCell ref="F1:F2"/>
    <mergeCell ref="I1:I2"/>
    <mergeCell ref="D1:D2"/>
  </mergeCells>
  <hyperlinks>
    <hyperlink ref="D4" r:id="rId1" xr:uid="{B937D4BB-E88F-40C3-A46E-278F748854F9}"/>
    <hyperlink ref="D5" r:id="rId2" xr:uid="{F6009BDA-B283-4BF3-A364-AA5014C2B2FC}"/>
    <hyperlink ref="D6" r:id="rId3" xr:uid="{45962B54-9563-46E1-A2DE-9FE78D85F7FF}"/>
    <hyperlink ref="D8" r:id="rId4" xr:uid="{D4261348-B675-497E-A51A-D3B101A0E241}"/>
    <hyperlink ref="D11" r:id="rId5" xr:uid="{AAF53E83-74AB-4AA7-B0DA-592179B521C2}"/>
    <hyperlink ref="D7" r:id="rId6" xr:uid="{FF83ED67-53C3-4C95-837F-768AE2138967}"/>
    <hyperlink ref="D13" r:id="rId7" xr:uid="{01CE32CC-6350-4AF6-87B6-4FCC351142BC}"/>
    <hyperlink ref="D14" r:id="rId8" xr:uid="{B0B056E8-E04F-45DA-B219-B4A906C64FB2}"/>
    <hyperlink ref="D16" r:id="rId9" xr:uid="{AAA66349-F3E6-4A5C-AA70-784D966F6068}"/>
    <hyperlink ref="D17" r:id="rId10" xr:uid="{E00D42C0-8039-40FB-9765-6BF12BDAA2FB}"/>
    <hyperlink ref="D18" r:id="rId11" xr:uid="{9F96F22C-663B-4F16-A791-288DE38A9825}"/>
    <hyperlink ref="D19" r:id="rId12" xr:uid="{D7C492CE-FF4C-4C07-965A-FE4D80FD7A5A}"/>
    <hyperlink ref="D21" r:id="rId13" xr:uid="{513A9D23-BA56-4C81-A7D3-DE495E0187F0}"/>
    <hyperlink ref="D22" r:id="rId14" xr:uid="{65D2E82F-BBD4-4926-AFD6-1B4C14842022}"/>
    <hyperlink ref="D23" r:id="rId15" xr:uid="{A358CEB7-72EE-4C95-BFF5-377BB1302FA7}"/>
    <hyperlink ref="D20" r:id="rId16" xr:uid="{1895E45D-B2B9-4CAA-BD9F-5DBB4831AA12}"/>
    <hyperlink ref="D24" r:id="rId17" xr:uid="{75E022E4-F670-4E1F-B58F-8A013D12D3ED}"/>
    <hyperlink ref="D3" r:id="rId18" xr:uid="{87A51446-20F0-4319-8ED3-0FA45391D8C2}"/>
    <hyperlink ref="D25" r:id="rId19" xr:uid="{0660D12C-6100-42D0-8A1F-062807AE9E72}"/>
    <hyperlink ref="D28" r:id="rId20" xr:uid="{20E56A07-4B17-4672-AEED-ED01E6852602}"/>
    <hyperlink ref="D29" r:id="rId21" xr:uid="{4D789F64-2B40-4FEE-9B67-4559CD89AC94}"/>
    <hyperlink ref="D9" r:id="rId22" xr:uid="{E7462DFA-15D5-422D-A257-9ED85B2BA3DA}"/>
    <hyperlink ref="D27" r:id="rId23" xr:uid="{AC761427-1986-4EB2-937E-9B32005A505F}"/>
    <hyperlink ref="D10" r:id="rId24" xr:uid="{6BE63E50-EB92-447D-BB77-19F38AA6B89B}"/>
    <hyperlink ref="D12" r:id="rId25" xr:uid="{0AEB2855-FFB9-4F0F-90FC-F3157F16EBF8}"/>
    <hyperlink ref="D15" r:id="rId26" xr:uid="{622A9D1B-B278-4970-88ED-205BD17B0D53}"/>
    <hyperlink ref="D26" r:id="rId27" xr:uid="{2745DC5B-C70D-454A-9B46-EC2686C787A2}"/>
    <hyperlink ref="D36" r:id="rId28" xr:uid="{AC7969A8-9A28-4D9F-B97B-F4DAE4E2C535}"/>
    <hyperlink ref="D38" r:id="rId29" xr:uid="{1BF06044-9794-4F3E-9CFB-81C1DE5C8092}"/>
    <hyperlink ref="D40" r:id="rId30" xr:uid="{D2EF8251-C091-4CAA-BF9F-F98ECAE346CA}"/>
    <hyperlink ref="D41" r:id="rId31" xr:uid="{F1EB59A0-CA2F-4DB6-AE75-A8D274798A07}"/>
    <hyperlink ref="C43" r:id="rId32" xr:uid="{D8BCEC0E-287D-4CF1-901E-B010F99539BE}"/>
    <hyperlink ref="C44" r:id="rId33" xr:uid="{4BB127E2-540F-4A57-95FC-EF49E77AEB9B}"/>
    <hyperlink ref="C45" r:id="rId34" xr:uid="{9305D20B-7368-425A-A0B3-3756FFE2FE9C}"/>
    <hyperlink ref="C46" r:id="rId35" xr:uid="{2F8411A3-A823-4B17-A3C9-1ECEED7E5909}"/>
    <hyperlink ref="C48" r:id="rId36" xr:uid="{7F2E5E3F-42C2-4FED-9836-542446542766}"/>
    <hyperlink ref="C49" r:id="rId37" xr:uid="{2C318CB3-A903-4521-9948-E5AEC2C7FD41}"/>
    <hyperlink ref="C52" r:id="rId38" xr:uid="{7E4D88CB-D3E2-470E-B7D7-5FE84BEA6678}"/>
    <hyperlink ref="C53" r:id="rId39" xr:uid="{1F1BAB69-1198-4C8C-A3FA-B5485A78535A}"/>
    <hyperlink ref="C54" r:id="rId40" xr:uid="{ADB93DD2-DA0E-4AE7-8E12-D9D164C15BCF}"/>
    <hyperlink ref="C55" r:id="rId41" xr:uid="{45FDB9C1-E9FC-4666-A425-C240A9FDF50A}"/>
    <hyperlink ref="C57" r:id="rId42" xr:uid="{0727E11D-1283-46A3-A67B-17AFDE9854EE}"/>
    <hyperlink ref="C60" r:id="rId43" xr:uid="{953632D2-EA5E-4CE7-B236-F0C73995504B}"/>
    <hyperlink ref="C50" r:id="rId44" xr:uid="{BA4510E0-3680-4187-B5F1-5FF9B2A4CFEF}"/>
    <hyperlink ref="C61" r:id="rId45" xr:uid="{35DF66A5-A994-4A52-A7EC-0302630A0AB2}"/>
    <hyperlink ref="C62" r:id="rId46" xr:uid="{92F5CA15-0148-054B-89FA-3A6B3444C21F}"/>
    <hyperlink ref="C63" r:id="rId47" xr:uid="{522F3984-DE40-49DB-A56D-5ADA7569879C}"/>
    <hyperlink ref="C64" r:id="rId48" xr:uid="{667443BB-4E96-4B0D-AEEA-023065EB153E}"/>
    <hyperlink ref="C65" r:id="rId49" xr:uid="{D372F5FF-1925-4002-97A4-F0F08690835A}"/>
    <hyperlink ref="C66" r:id="rId50" xr:uid="{8A9C9C53-3CE5-47A2-8743-3C455893B5A7}"/>
    <hyperlink ref="C67" r:id="rId51" xr:uid="{332667B7-8AC9-4B43-8D16-46C5F673486B}"/>
    <hyperlink ref="C68" r:id="rId52" xr:uid="{C58ED964-7E29-904F-ABCE-7A17A42ABD1A}"/>
    <hyperlink ref="C59" r:id="rId53" xr:uid="{176E97FE-494D-4AFB-B7EC-F546F0F0814E}"/>
    <hyperlink ref="C69" r:id="rId54" xr:uid="{24B45B82-594F-47B0-BF43-B71FE8F93DF1}"/>
    <hyperlink ref="C71" r:id="rId55" xr:uid="{BCA2EB84-7A68-4E05-9E00-FC59B03BA769}"/>
    <hyperlink ref="C72" r:id="rId56" xr:uid="{3516A850-B786-4924-BC53-495AA12BD632}"/>
    <hyperlink ref="C73" r:id="rId57" xr:uid="{97805AAA-6369-4FE7-B043-22126D9403E3}"/>
    <hyperlink ref="C74" r:id="rId58" xr:uid="{3E6407CC-94DB-477E-A83A-BED805429D95}"/>
    <hyperlink ref="C75" r:id="rId59" xr:uid="{9B24340B-689C-467F-8A18-0B4FC9151A4A}"/>
  </hyperlink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244633-fe53-457c-bf4a-663379417716">
      <Terms xmlns="http://schemas.microsoft.com/office/infopath/2007/PartnerControls"/>
    </lcf76f155ced4ddcb4097134ff3c332f>
    <TaxCatchAll xmlns="3398f5b3-d997-4a50-a652-14898b611e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47EBF53701AE4DB4131FC12CF7C60B" ma:contentTypeVersion="14" ma:contentTypeDescription="Create a new document." ma:contentTypeScope="" ma:versionID="e2db36bbe686e8ce61b8de78966466d9">
  <xsd:schema xmlns:xsd="http://www.w3.org/2001/XMLSchema" xmlns:xs="http://www.w3.org/2001/XMLSchema" xmlns:p="http://schemas.microsoft.com/office/2006/metadata/properties" xmlns:ns2="30244633-fe53-457c-bf4a-663379417716" xmlns:ns3="3398f5b3-d997-4a50-a652-14898b611e26" targetNamespace="http://schemas.microsoft.com/office/2006/metadata/properties" ma:root="true" ma:fieldsID="48a1c4e195f34dc9156fa9beb0893706" ns2:_="" ns3:_="">
    <xsd:import namespace="30244633-fe53-457c-bf4a-663379417716"/>
    <xsd:import namespace="3398f5b3-d997-4a50-a652-14898b611e2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244633-fe53-457c-bf4a-6633794177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72ef673-cf9d-48ea-8c65-e3e907dd28d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398f5b3-d997-4a50-a652-14898b611e2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c6c3e78-916c-499e-bf1e-b4f14d2382af}" ma:internalName="TaxCatchAll" ma:showField="CatchAllData" ma:web="3398f5b3-d997-4a50-a652-14898b611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9D05CF-7AB0-4253-9677-9FD8A0B32782}">
  <ds:schemaRefs>
    <ds:schemaRef ds:uri="http://schemas.microsoft.com/office/2006/metadata/properties"/>
    <ds:schemaRef ds:uri="http://schemas.microsoft.com/office/infopath/2007/PartnerControls"/>
    <ds:schemaRef ds:uri="30244633-fe53-457c-bf4a-663379417716"/>
    <ds:schemaRef ds:uri="3398f5b3-d997-4a50-a652-14898b611e26"/>
  </ds:schemaRefs>
</ds:datastoreItem>
</file>

<file path=customXml/itemProps2.xml><?xml version="1.0" encoding="utf-8"?>
<ds:datastoreItem xmlns:ds="http://schemas.openxmlformats.org/officeDocument/2006/customXml" ds:itemID="{453A024B-99D7-49AA-A598-340D898C54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244633-fe53-457c-bf4a-663379417716"/>
    <ds:schemaRef ds:uri="3398f5b3-d997-4a50-a652-14898b61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151B59-092B-44B0-B235-EC42A4B5B8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Summary_Store</vt:lpstr>
      <vt:lpstr>Asset_Office</vt:lpstr>
      <vt:lpstr>Warehosue mail</vt:lpstr>
      <vt:lpstr>VN_Emails</vt:lpstr>
      <vt:lpstr>Office_Resigned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Luong Huu Quan</dc:creator>
  <cp:keywords/>
  <dc:description/>
  <cp:lastModifiedBy>Minh Van</cp:lastModifiedBy>
  <cp:revision/>
  <dcterms:created xsi:type="dcterms:W3CDTF">2023-05-22T09:17:23Z</dcterms:created>
  <dcterms:modified xsi:type="dcterms:W3CDTF">2026-03-05T05:37:55Z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0x0101000647EBF53701AE4DB4131FC12CF7C60B</vt:lpwstr>
  </property>
  <property fmtid="{D5CDD505-2E9C-101B-9397-08002B2CF9AE}" pid="3" name="MediaServiceImageTags">
    <vt:lpwstr/>
  </property>
</Properties>
</file>